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8d2cff09f4776f/Documents/Everything Else/Truly Random/"/>
    </mc:Choice>
  </mc:AlternateContent>
  <xr:revisionPtr revIDLastSave="0" documentId="8_{5BDDFA0C-CE97-4B9D-93CC-B558E1ECAEA9}" xr6:coauthVersionLast="47" xr6:coauthVersionMax="47" xr10:uidLastSave="{00000000-0000-0000-0000-000000000000}"/>
  <bookViews>
    <workbookView xWindow="0" yWindow="0" windowWidth="28800" windowHeight="18000" firstSheet="2" activeTab="2" xr2:uid="{00000000-000D-0000-FFFF-FFFF00000000}"/>
  </bookViews>
  <sheets>
    <sheet name="All 5" sheetId="1" r:id="rId1"/>
    <sheet name="With Fife" sheetId="11" r:id="rId2"/>
    <sheet name="GHS" sheetId="10" r:id="rId3"/>
    <sheet name="Brexit Brigade" sheetId="9" r:id="rId4"/>
    <sheet name="GU" sheetId="4" r:id="rId5"/>
    <sheet name="GHS ∩ GU" sheetId="3" r:id="rId6"/>
    <sheet name="McLads" sheetId="8" r:id="rId7"/>
    <sheet name="Happy Families " sheetId="5" r:id="rId8"/>
    <sheet name="England Swap" sheetId="6" r:id="rId9"/>
    <sheet name="Day by Day" sheetId="2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0" l="1"/>
  <c r="C5" i="10"/>
  <c r="D5" i="10"/>
  <c r="E5" i="10"/>
  <c r="B5" i="10"/>
  <c r="B2" i="11"/>
  <c r="C2" i="11"/>
  <c r="D2" i="11"/>
  <c r="E2" i="11"/>
  <c r="F2" i="11"/>
  <c r="G2" i="11"/>
  <c r="C3" i="11"/>
  <c r="D3" i="11"/>
  <c r="E3" i="11"/>
  <c r="F3" i="11"/>
  <c r="G3" i="11"/>
  <c r="B3" i="11"/>
  <c r="G5" i="11"/>
  <c r="F5" i="11"/>
  <c r="E5" i="11"/>
  <c r="D5" i="11"/>
  <c r="C5" i="11"/>
  <c r="B5" i="11"/>
  <c r="J1" i="11"/>
  <c r="B2" i="10"/>
  <c r="C2" i="10"/>
  <c r="D2" i="10"/>
  <c r="E2" i="10"/>
  <c r="E3" i="10"/>
  <c r="D3" i="10"/>
  <c r="C3" i="10"/>
  <c r="B3" i="10"/>
  <c r="H1" i="10"/>
  <c r="B2" i="9"/>
  <c r="C2" i="9"/>
  <c r="D2" i="9"/>
  <c r="E2" i="9"/>
  <c r="E3" i="9"/>
  <c r="D3" i="9"/>
  <c r="C3" i="9"/>
  <c r="B3" i="9"/>
  <c r="H1" i="9"/>
  <c r="B2" i="8"/>
  <c r="C2" i="8"/>
  <c r="D2" i="8"/>
  <c r="D3" i="8"/>
  <c r="C3" i="8"/>
  <c r="B3" i="8"/>
  <c r="C5" i="1"/>
  <c r="D5" i="1"/>
  <c r="E5" i="1"/>
  <c r="F5" i="1"/>
  <c r="B5" i="1"/>
  <c r="B2" i="6"/>
  <c r="C2" i="6"/>
  <c r="D2" i="6"/>
  <c r="E2" i="6"/>
  <c r="F2" i="6"/>
  <c r="F3" i="6"/>
  <c r="E3" i="6"/>
  <c r="D3" i="6"/>
  <c r="C3" i="6"/>
  <c r="B3" i="6"/>
  <c r="I1" i="6"/>
  <c r="B2" i="5"/>
  <c r="C2" i="5"/>
  <c r="D2" i="5"/>
  <c r="D3" i="5"/>
  <c r="C3" i="5"/>
  <c r="B3" i="5"/>
  <c r="B2" i="4"/>
  <c r="C2" i="4"/>
  <c r="D2" i="4"/>
  <c r="E2" i="4"/>
  <c r="E3" i="4"/>
  <c r="D3" i="4"/>
  <c r="C3" i="4"/>
  <c r="B3" i="4"/>
  <c r="H1" i="4"/>
  <c r="B2" i="3"/>
  <c r="C2" i="3"/>
  <c r="D2" i="3"/>
  <c r="C3" i="3"/>
  <c r="D3" i="3"/>
  <c r="B3" i="3"/>
  <c r="A2" i="2" a="1"/>
  <c r="A2" i="2"/>
  <c r="A3" i="2" a="1"/>
  <c r="A3" i="2"/>
  <c r="B3" i="2"/>
  <c r="C3" i="2"/>
  <c r="D3" i="2"/>
  <c r="E3" i="2"/>
  <c r="F3" i="2"/>
  <c r="A4" i="2" a="1"/>
  <c r="A4" i="2"/>
  <c r="B4" i="2"/>
  <c r="C4" i="2"/>
  <c r="D4" i="2"/>
  <c r="E4" i="2"/>
  <c r="F4" i="2"/>
  <c r="A5" i="2" a="1"/>
  <c r="A5" i="2"/>
  <c r="B5" i="2"/>
  <c r="C5" i="2"/>
  <c r="D5" i="2"/>
  <c r="E5" i="2"/>
  <c r="F5" i="2"/>
  <c r="A6" i="2" a="1"/>
  <c r="A6" i="2"/>
  <c r="B6" i="2"/>
  <c r="C6" i="2"/>
  <c r="D6" i="2"/>
  <c r="E6" i="2"/>
  <c r="F6" i="2"/>
  <c r="A7" i="2" a="1"/>
  <c r="A7" i="2"/>
  <c r="B7" i="2"/>
  <c r="C7" i="2"/>
  <c r="D7" i="2"/>
  <c r="E7" i="2"/>
  <c r="F7" i="2"/>
  <c r="A8" i="2" a="1"/>
  <c r="A8" i="2"/>
  <c r="B8" i="2"/>
  <c r="C8" i="2"/>
  <c r="D8" i="2"/>
  <c r="E8" i="2"/>
  <c r="F8" i="2"/>
  <c r="A9" i="2" a="1"/>
  <c r="A9" i="2"/>
  <c r="B9" i="2"/>
  <c r="C9" i="2"/>
  <c r="D9" i="2"/>
  <c r="E9" i="2"/>
  <c r="F9" i="2"/>
  <c r="A10" i="2" a="1"/>
  <c r="A10" i="2"/>
  <c r="B10" i="2"/>
  <c r="C10" i="2"/>
  <c r="D10" i="2"/>
  <c r="E10" i="2"/>
  <c r="F10" i="2"/>
  <c r="A11" i="2" a="1"/>
  <c r="A11" i="2"/>
  <c r="B11" i="2"/>
  <c r="C11" i="2"/>
  <c r="D11" i="2"/>
  <c r="E11" i="2"/>
  <c r="F11" i="2"/>
  <c r="A12" i="2" a="1"/>
  <c r="A12" i="2"/>
  <c r="B12" i="2"/>
  <c r="C12" i="2"/>
  <c r="D12" i="2"/>
  <c r="E12" i="2"/>
  <c r="F12" i="2"/>
  <c r="A13" i="2" a="1"/>
  <c r="A13" i="2"/>
  <c r="B13" i="2"/>
  <c r="C13" i="2"/>
  <c r="D13" i="2"/>
  <c r="E13" i="2"/>
  <c r="F13" i="2"/>
  <c r="A14" i="2" a="1"/>
  <c r="A14" i="2"/>
  <c r="B14" i="2"/>
  <c r="C14" i="2"/>
  <c r="D14" i="2"/>
  <c r="E14" i="2"/>
  <c r="F14" i="2"/>
  <c r="A15" i="2" a="1"/>
  <c r="A15" i="2"/>
  <c r="B15" i="2"/>
  <c r="C15" i="2"/>
  <c r="D15" i="2"/>
  <c r="E15" i="2"/>
  <c r="F15" i="2"/>
  <c r="A16" i="2" a="1"/>
  <c r="A16" i="2"/>
  <c r="B16" i="2"/>
  <c r="C16" i="2"/>
  <c r="D16" i="2"/>
  <c r="E16" i="2"/>
  <c r="F16" i="2"/>
  <c r="A17" i="2" a="1"/>
  <c r="A17" i="2"/>
  <c r="B17" i="2"/>
  <c r="C17" i="2"/>
  <c r="D17" i="2"/>
  <c r="E17" i="2"/>
  <c r="F17" i="2"/>
  <c r="A18" i="2" a="1"/>
  <c r="A18" i="2"/>
  <c r="B18" i="2"/>
  <c r="C18" i="2"/>
  <c r="D18" i="2"/>
  <c r="E18" i="2"/>
  <c r="F18" i="2"/>
  <c r="A19" i="2" a="1"/>
  <c r="A19" i="2"/>
  <c r="B19" i="2"/>
  <c r="C19" i="2"/>
  <c r="D19" i="2"/>
  <c r="E19" i="2"/>
  <c r="F19" i="2"/>
  <c r="A20" i="2" a="1"/>
  <c r="A20" i="2"/>
  <c r="B20" i="2"/>
  <c r="C20" i="2"/>
  <c r="D20" i="2"/>
  <c r="E20" i="2"/>
  <c r="F20" i="2"/>
  <c r="A21" i="2" a="1"/>
  <c r="A21" i="2"/>
  <c r="B21" i="2"/>
  <c r="C21" i="2"/>
  <c r="D21" i="2"/>
  <c r="E21" i="2"/>
  <c r="F21" i="2"/>
  <c r="A22" i="2" a="1"/>
  <c r="A22" i="2"/>
  <c r="B22" i="2"/>
  <c r="C22" i="2"/>
  <c r="D22" i="2"/>
  <c r="E22" i="2"/>
  <c r="F22" i="2"/>
  <c r="A23" i="2" a="1"/>
  <c r="A23" i="2"/>
  <c r="B23" i="2"/>
  <c r="C23" i="2"/>
  <c r="D23" i="2"/>
  <c r="E23" i="2"/>
  <c r="F23" i="2"/>
  <c r="A24" i="2" a="1"/>
  <c r="A24" i="2"/>
  <c r="B24" i="2"/>
  <c r="C24" i="2"/>
  <c r="D24" i="2"/>
  <c r="E24" i="2"/>
  <c r="F24" i="2"/>
  <c r="A25" i="2" a="1"/>
  <c r="A25" i="2"/>
  <c r="B25" i="2"/>
  <c r="C25" i="2"/>
  <c r="D25" i="2"/>
  <c r="E25" i="2"/>
  <c r="F25" i="2"/>
  <c r="A26" i="2" a="1"/>
  <c r="A26" i="2"/>
  <c r="B26" i="2"/>
  <c r="C26" i="2"/>
  <c r="D26" i="2"/>
  <c r="E26" i="2"/>
  <c r="F26" i="2"/>
  <c r="A27" i="2" a="1"/>
  <c r="A27" i="2"/>
  <c r="B27" i="2"/>
  <c r="C27" i="2"/>
  <c r="D27" i="2"/>
  <c r="E27" i="2"/>
  <c r="F27" i="2"/>
  <c r="A28" i="2" a="1"/>
  <c r="A28" i="2"/>
  <c r="B28" i="2"/>
  <c r="C28" i="2"/>
  <c r="D28" i="2"/>
  <c r="E28" i="2"/>
  <c r="F28" i="2"/>
  <c r="A29" i="2" a="1"/>
  <c r="A29" i="2"/>
  <c r="B29" i="2"/>
  <c r="C29" i="2"/>
  <c r="D29" i="2"/>
  <c r="E29" i="2"/>
  <c r="F29" i="2"/>
  <c r="A30" i="2" a="1"/>
  <c r="A30" i="2"/>
  <c r="B30" i="2"/>
  <c r="C30" i="2"/>
  <c r="D30" i="2"/>
  <c r="E30" i="2"/>
  <c r="F30" i="2"/>
  <c r="A31" i="2" a="1"/>
  <c r="A31" i="2"/>
  <c r="B31" i="2"/>
  <c r="C31" i="2"/>
  <c r="D31" i="2"/>
  <c r="E31" i="2"/>
  <c r="F31" i="2"/>
  <c r="A32" i="2" a="1"/>
  <c r="A32" i="2"/>
  <c r="B32" i="2"/>
  <c r="C32" i="2"/>
  <c r="D32" i="2"/>
  <c r="E32" i="2"/>
  <c r="F32" i="2"/>
  <c r="A33" i="2" a="1"/>
  <c r="A33" i="2"/>
  <c r="B33" i="2"/>
  <c r="C33" i="2"/>
  <c r="D33" i="2"/>
  <c r="E33" i="2"/>
  <c r="F33" i="2"/>
  <c r="A34" i="2" a="1"/>
  <c r="A34" i="2"/>
  <c r="B34" i="2"/>
  <c r="C34" i="2"/>
  <c r="D34" i="2"/>
  <c r="E34" i="2"/>
  <c r="F34" i="2"/>
  <c r="A35" i="2" a="1"/>
  <c r="A35" i="2"/>
  <c r="B35" i="2"/>
  <c r="C35" i="2"/>
  <c r="D35" i="2"/>
  <c r="E35" i="2"/>
  <c r="F35" i="2"/>
  <c r="A36" i="2" a="1"/>
  <c r="A36" i="2"/>
  <c r="B36" i="2"/>
  <c r="C36" i="2"/>
  <c r="D36" i="2"/>
  <c r="E36" i="2"/>
  <c r="F36" i="2"/>
  <c r="A37" i="2" a="1"/>
  <c r="A37" i="2"/>
  <c r="B37" i="2"/>
  <c r="C37" i="2"/>
  <c r="D37" i="2"/>
  <c r="E37" i="2"/>
  <c r="F37" i="2"/>
  <c r="A38" i="2" a="1"/>
  <c r="A38" i="2"/>
  <c r="B38" i="2"/>
  <c r="C38" i="2"/>
  <c r="D38" i="2"/>
  <c r="E38" i="2"/>
  <c r="F38" i="2"/>
  <c r="A39" i="2" a="1"/>
  <c r="A39" i="2"/>
  <c r="B39" i="2"/>
  <c r="C39" i="2"/>
  <c r="D39" i="2"/>
  <c r="E39" i="2"/>
  <c r="F39" i="2"/>
  <c r="A40" i="2" a="1"/>
  <c r="A40" i="2"/>
  <c r="B40" i="2"/>
  <c r="C40" i="2"/>
  <c r="D40" i="2"/>
  <c r="E40" i="2"/>
  <c r="F40" i="2"/>
  <c r="A41" i="2" a="1"/>
  <c r="A41" i="2"/>
  <c r="B41" i="2"/>
  <c r="C41" i="2"/>
  <c r="D41" i="2"/>
  <c r="E41" i="2"/>
  <c r="F41" i="2"/>
  <c r="A42" i="2" a="1"/>
  <c r="A42" i="2"/>
  <c r="B42" i="2"/>
  <c r="C42" i="2"/>
  <c r="D42" i="2"/>
  <c r="E42" i="2"/>
  <c r="F42" i="2"/>
  <c r="A43" i="2" a="1"/>
  <c r="A43" i="2"/>
  <c r="B43" i="2"/>
  <c r="C43" i="2"/>
  <c r="D43" i="2"/>
  <c r="E43" i="2"/>
  <c r="F43" i="2"/>
  <c r="A44" i="2" a="1"/>
  <c r="A44" i="2"/>
  <c r="B44" i="2"/>
  <c r="C44" i="2"/>
  <c r="D44" i="2"/>
  <c r="E44" i="2"/>
  <c r="F44" i="2"/>
  <c r="A45" i="2" a="1"/>
  <c r="A45" i="2"/>
  <c r="B45" i="2"/>
  <c r="C45" i="2"/>
  <c r="D45" i="2"/>
  <c r="E45" i="2"/>
  <c r="F45" i="2"/>
  <c r="A46" i="2" a="1"/>
  <c r="A46" i="2"/>
  <c r="B46" i="2"/>
  <c r="C46" i="2"/>
  <c r="D46" i="2"/>
  <c r="E46" i="2"/>
  <c r="F46" i="2"/>
  <c r="A47" i="2" a="1"/>
  <c r="A47" i="2"/>
  <c r="B47" i="2"/>
  <c r="C47" i="2"/>
  <c r="D47" i="2"/>
  <c r="E47" i="2"/>
  <c r="F47" i="2"/>
  <c r="A48" i="2" a="1"/>
  <c r="A48" i="2"/>
  <c r="B48" i="2"/>
  <c r="C48" i="2"/>
  <c r="D48" i="2"/>
  <c r="E48" i="2"/>
  <c r="F48" i="2"/>
  <c r="A49" i="2" a="1"/>
  <c r="A49" i="2"/>
  <c r="B49" i="2"/>
  <c r="C49" i="2"/>
  <c r="D49" i="2"/>
  <c r="E49" i="2"/>
  <c r="F49" i="2"/>
  <c r="A50" i="2" a="1"/>
  <c r="A50" i="2"/>
  <c r="B50" i="2"/>
  <c r="C50" i="2"/>
  <c r="D50" i="2"/>
  <c r="E50" i="2"/>
  <c r="F50" i="2"/>
  <c r="A51" i="2" a="1"/>
  <c r="A51" i="2"/>
  <c r="B51" i="2"/>
  <c r="C51" i="2"/>
  <c r="D51" i="2"/>
  <c r="E51" i="2"/>
  <c r="F51" i="2"/>
  <c r="A52" i="2" a="1"/>
  <c r="A52" i="2"/>
  <c r="B52" i="2"/>
  <c r="C52" i="2"/>
  <c r="D52" i="2"/>
  <c r="E52" i="2"/>
  <c r="F52" i="2"/>
  <c r="A53" i="2" a="1"/>
  <c r="A53" i="2"/>
  <c r="B53" i="2"/>
  <c r="C53" i="2"/>
  <c r="D53" i="2"/>
  <c r="E53" i="2"/>
  <c r="F53" i="2"/>
  <c r="A54" i="2" a="1"/>
  <c r="A54" i="2"/>
  <c r="B54" i="2"/>
  <c r="C54" i="2"/>
  <c r="D54" i="2"/>
  <c r="E54" i="2"/>
  <c r="F54" i="2"/>
  <c r="A55" i="2" a="1"/>
  <c r="A55" i="2"/>
  <c r="B55" i="2"/>
  <c r="C55" i="2"/>
  <c r="D55" i="2"/>
  <c r="E55" i="2"/>
  <c r="F55" i="2"/>
  <c r="A56" i="2" a="1"/>
  <c r="A56" i="2"/>
  <c r="B56" i="2"/>
  <c r="C56" i="2"/>
  <c r="D56" i="2"/>
  <c r="E56" i="2"/>
  <c r="F56" i="2"/>
  <c r="A57" i="2" a="1"/>
  <c r="A57" i="2"/>
  <c r="B57" i="2"/>
  <c r="C57" i="2"/>
  <c r="D57" i="2"/>
  <c r="E57" i="2"/>
  <c r="F57" i="2"/>
  <c r="A58" i="2" a="1"/>
  <c r="A58" i="2"/>
  <c r="B58" i="2"/>
  <c r="C58" i="2"/>
  <c r="D58" i="2"/>
  <c r="E58" i="2"/>
  <c r="F58" i="2"/>
  <c r="A59" i="2" a="1"/>
  <c r="A59" i="2"/>
  <c r="B59" i="2"/>
  <c r="C59" i="2"/>
  <c r="D59" i="2"/>
  <c r="E59" i="2"/>
  <c r="F59" i="2"/>
  <c r="A60" i="2" a="1"/>
  <c r="A60" i="2"/>
  <c r="B60" i="2"/>
  <c r="C60" i="2"/>
  <c r="D60" i="2"/>
  <c r="E60" i="2"/>
  <c r="F60" i="2"/>
  <c r="A61" i="2" a="1"/>
  <c r="A61" i="2"/>
  <c r="B61" i="2"/>
  <c r="C61" i="2"/>
  <c r="D61" i="2"/>
  <c r="E61" i="2"/>
  <c r="F61" i="2"/>
  <c r="A62" i="2" a="1"/>
  <c r="A62" i="2"/>
  <c r="B62" i="2"/>
  <c r="C62" i="2"/>
  <c r="D62" i="2"/>
  <c r="E62" i="2"/>
  <c r="F62" i="2"/>
  <c r="A63" i="2" a="1"/>
  <c r="A63" i="2"/>
  <c r="B63" i="2"/>
  <c r="C63" i="2"/>
  <c r="D63" i="2"/>
  <c r="E63" i="2"/>
  <c r="F63" i="2"/>
  <c r="A64" i="2" a="1"/>
  <c r="A64" i="2"/>
  <c r="B64" i="2"/>
  <c r="C64" i="2"/>
  <c r="D64" i="2"/>
  <c r="E64" i="2"/>
  <c r="F64" i="2"/>
  <c r="A65" i="2" a="1"/>
  <c r="A65" i="2"/>
  <c r="B65" i="2"/>
  <c r="C65" i="2"/>
  <c r="D65" i="2"/>
  <c r="E65" i="2"/>
  <c r="F65" i="2"/>
  <c r="A66" i="2" a="1"/>
  <c r="A66" i="2"/>
  <c r="B66" i="2"/>
  <c r="C66" i="2"/>
  <c r="D66" i="2"/>
  <c r="E66" i="2"/>
  <c r="F66" i="2"/>
  <c r="A67" i="2" a="1"/>
  <c r="A67" i="2"/>
  <c r="B67" i="2"/>
  <c r="C67" i="2"/>
  <c r="D67" i="2"/>
  <c r="E67" i="2"/>
  <c r="F67" i="2"/>
  <c r="A68" i="2" a="1"/>
  <c r="A68" i="2"/>
  <c r="B68" i="2"/>
  <c r="C68" i="2"/>
  <c r="D68" i="2"/>
  <c r="E68" i="2"/>
  <c r="F68" i="2"/>
  <c r="A69" i="2" a="1"/>
  <c r="A69" i="2"/>
  <c r="B69" i="2"/>
  <c r="C69" i="2"/>
  <c r="D69" i="2"/>
  <c r="E69" i="2"/>
  <c r="F69" i="2"/>
  <c r="A70" i="2" a="1"/>
  <c r="A70" i="2"/>
  <c r="B70" i="2"/>
  <c r="C70" i="2"/>
  <c r="D70" i="2"/>
  <c r="E70" i="2"/>
  <c r="F70" i="2"/>
  <c r="A71" i="2" a="1"/>
  <c r="A71" i="2"/>
  <c r="B71" i="2"/>
  <c r="C71" i="2"/>
  <c r="D71" i="2"/>
  <c r="E71" i="2"/>
  <c r="F71" i="2"/>
  <c r="A72" i="2" a="1"/>
  <c r="A72" i="2"/>
  <c r="B72" i="2"/>
  <c r="C72" i="2"/>
  <c r="D72" i="2"/>
  <c r="E72" i="2"/>
  <c r="F72" i="2"/>
  <c r="A73" i="2" a="1"/>
  <c r="A73" i="2"/>
  <c r="B73" i="2"/>
  <c r="C73" i="2"/>
  <c r="D73" i="2"/>
  <c r="E73" i="2"/>
  <c r="F73" i="2"/>
  <c r="A74" i="2" a="1"/>
  <c r="A74" i="2"/>
  <c r="B74" i="2"/>
  <c r="C74" i="2"/>
  <c r="D74" i="2"/>
  <c r="E74" i="2"/>
  <c r="F74" i="2"/>
  <c r="A75" i="2" a="1"/>
  <c r="A75" i="2"/>
  <c r="B75" i="2"/>
  <c r="C75" i="2"/>
  <c r="D75" i="2"/>
  <c r="E75" i="2"/>
  <c r="F75" i="2"/>
  <c r="A76" i="2" a="1"/>
  <c r="A76" i="2"/>
  <c r="B76" i="2"/>
  <c r="C76" i="2"/>
  <c r="D76" i="2"/>
  <c r="E76" i="2"/>
  <c r="F76" i="2"/>
  <c r="A77" i="2" a="1"/>
  <c r="A77" i="2"/>
  <c r="B77" i="2"/>
  <c r="C77" i="2"/>
  <c r="D77" i="2"/>
  <c r="E77" i="2"/>
  <c r="F77" i="2"/>
  <c r="A78" i="2" a="1"/>
  <c r="A78" i="2"/>
  <c r="B78" i="2"/>
  <c r="C78" i="2"/>
  <c r="D78" i="2"/>
  <c r="E78" i="2"/>
  <c r="F78" i="2"/>
  <c r="A79" i="2" a="1"/>
  <c r="A79" i="2"/>
  <c r="B79" i="2"/>
  <c r="C79" i="2"/>
  <c r="D79" i="2"/>
  <c r="E79" i="2"/>
  <c r="F79" i="2"/>
  <c r="A80" i="2" a="1"/>
  <c r="A80" i="2"/>
  <c r="B80" i="2"/>
  <c r="C80" i="2"/>
  <c r="D80" i="2"/>
  <c r="E80" i="2"/>
  <c r="F80" i="2"/>
  <c r="A81" i="2" a="1"/>
  <c r="A81" i="2"/>
  <c r="B81" i="2"/>
  <c r="C81" i="2"/>
  <c r="D81" i="2"/>
  <c r="E81" i="2"/>
  <c r="F81" i="2"/>
  <c r="A82" i="2" a="1"/>
  <c r="A82" i="2"/>
  <c r="B82" i="2"/>
  <c r="C82" i="2"/>
  <c r="D82" i="2"/>
  <c r="E82" i="2"/>
  <c r="F82" i="2"/>
  <c r="A83" i="2" a="1"/>
  <c r="A83" i="2"/>
  <c r="B83" i="2"/>
  <c r="C83" i="2"/>
  <c r="D83" i="2"/>
  <c r="E83" i="2"/>
  <c r="F83" i="2"/>
  <c r="A84" i="2" a="1"/>
  <c r="A84" i="2"/>
  <c r="B84" i="2"/>
  <c r="C84" i="2"/>
  <c r="D84" i="2"/>
  <c r="E84" i="2"/>
  <c r="F84" i="2"/>
  <c r="A85" i="2" a="1"/>
  <c r="A85" i="2"/>
  <c r="B85" i="2"/>
  <c r="C85" i="2"/>
  <c r="D85" i="2"/>
  <c r="E85" i="2"/>
  <c r="F85" i="2"/>
  <c r="A86" i="2" a="1"/>
  <c r="A86" i="2"/>
  <c r="B86" i="2"/>
  <c r="C86" i="2"/>
  <c r="D86" i="2"/>
  <c r="E86" i="2"/>
  <c r="F86" i="2"/>
  <c r="A87" i="2" a="1"/>
  <c r="A87" i="2"/>
  <c r="B87" i="2"/>
  <c r="C87" i="2"/>
  <c r="D87" i="2"/>
  <c r="E87" i="2"/>
  <c r="F87" i="2"/>
  <c r="A88" i="2" a="1"/>
  <c r="A88" i="2"/>
  <c r="B88" i="2"/>
  <c r="C88" i="2"/>
  <c r="D88" i="2"/>
  <c r="E88" i="2"/>
  <c r="F88" i="2"/>
  <c r="A89" i="2" a="1"/>
  <c r="A89" i="2"/>
  <c r="B89" i="2"/>
  <c r="C89" i="2"/>
  <c r="D89" i="2"/>
  <c r="E89" i="2"/>
  <c r="F89" i="2"/>
  <c r="A90" i="2" a="1"/>
  <c r="A90" i="2"/>
  <c r="B90" i="2"/>
  <c r="C90" i="2"/>
  <c r="D90" i="2"/>
  <c r="E90" i="2"/>
  <c r="F90" i="2"/>
  <c r="A91" i="2" a="1"/>
  <c r="A91" i="2"/>
  <c r="B91" i="2"/>
  <c r="C91" i="2"/>
  <c r="D91" i="2"/>
  <c r="E91" i="2"/>
  <c r="F91" i="2"/>
  <c r="A92" i="2" a="1"/>
  <c r="A92" i="2"/>
  <c r="B92" i="2"/>
  <c r="C92" i="2"/>
  <c r="D92" i="2"/>
  <c r="E92" i="2"/>
  <c r="F92" i="2"/>
  <c r="A93" i="2" a="1"/>
  <c r="A93" i="2"/>
  <c r="B93" i="2"/>
  <c r="C93" i="2"/>
  <c r="D93" i="2"/>
  <c r="E93" i="2"/>
  <c r="F93" i="2"/>
  <c r="A94" i="2" a="1"/>
  <c r="A94" i="2"/>
  <c r="B94" i="2"/>
  <c r="C94" i="2"/>
  <c r="D94" i="2"/>
  <c r="E94" i="2"/>
  <c r="F94" i="2"/>
  <c r="A95" i="2" a="1"/>
  <c r="A95" i="2"/>
  <c r="B95" i="2"/>
  <c r="C95" i="2"/>
  <c r="D95" i="2"/>
  <c r="E95" i="2"/>
  <c r="F95" i="2"/>
  <c r="A96" i="2" a="1"/>
  <c r="A96" i="2"/>
  <c r="B96" i="2"/>
  <c r="C96" i="2"/>
  <c r="D96" i="2"/>
  <c r="E96" i="2"/>
  <c r="F96" i="2"/>
  <c r="A97" i="2" a="1"/>
  <c r="A97" i="2"/>
  <c r="B97" i="2"/>
  <c r="C97" i="2"/>
  <c r="D97" i="2"/>
  <c r="E97" i="2"/>
  <c r="F97" i="2"/>
  <c r="A98" i="2" a="1"/>
  <c r="A98" i="2"/>
  <c r="B98" i="2"/>
  <c r="C98" i="2"/>
  <c r="D98" i="2"/>
  <c r="E98" i="2"/>
  <c r="F98" i="2"/>
  <c r="A99" i="2" a="1"/>
  <c r="A99" i="2"/>
  <c r="B99" i="2"/>
  <c r="C99" i="2"/>
  <c r="D99" i="2"/>
  <c r="E99" i="2"/>
  <c r="F99" i="2"/>
  <c r="A100" i="2" a="1"/>
  <c r="A100" i="2"/>
  <c r="B100" i="2"/>
  <c r="C100" i="2"/>
  <c r="D100" i="2"/>
  <c r="E100" i="2"/>
  <c r="F100" i="2"/>
  <c r="A101" i="2" a="1"/>
  <c r="A101" i="2"/>
  <c r="B101" i="2"/>
  <c r="C101" i="2"/>
  <c r="D101" i="2"/>
  <c r="E101" i="2"/>
  <c r="F101" i="2"/>
  <c r="A102" i="2" a="1"/>
  <c r="A102" i="2"/>
  <c r="B102" i="2"/>
  <c r="C102" i="2"/>
  <c r="D102" i="2"/>
  <c r="E102" i="2"/>
  <c r="F102" i="2"/>
  <c r="A103" i="2" a="1"/>
  <c r="A103" i="2"/>
  <c r="B103" i="2"/>
  <c r="C103" i="2"/>
  <c r="D103" i="2"/>
  <c r="E103" i="2"/>
  <c r="F103" i="2"/>
  <c r="A104" i="2" a="1"/>
  <c r="A104" i="2"/>
  <c r="B104" i="2"/>
  <c r="C104" i="2"/>
  <c r="D104" i="2"/>
  <c r="E104" i="2"/>
  <c r="F104" i="2"/>
  <c r="C2" i="2"/>
  <c r="D2" i="2"/>
  <c r="E2" i="2"/>
  <c r="F2" i="2"/>
  <c r="B2" i="2"/>
  <c r="C2" i="1"/>
  <c r="D2" i="1"/>
  <c r="E2" i="1"/>
  <c r="B2" i="1"/>
  <c r="F2" i="1"/>
  <c r="E3" i="1"/>
  <c r="I1" i="1"/>
  <c r="C3" i="1"/>
  <c r="D3" i="1"/>
  <c r="B3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<sst xmlns="http://schemas.openxmlformats.org/spreadsheetml/2006/main" count="58" uniqueCount="9">
  <si>
    <t>Date</t>
  </si>
  <si>
    <t>Fraser</t>
  </si>
  <si>
    <t>Lorne</t>
  </si>
  <si>
    <t>Marije</t>
  </si>
  <si>
    <t>Max</t>
  </si>
  <si>
    <t>Patrick</t>
  </si>
  <si>
    <t>Average Loss</t>
  </si>
  <si>
    <t>Daisy</t>
  </si>
  <si>
    <t>Millie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</si>
</sst>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BD38-C0C2-4441-9A4E-BA51B0F8429C}">
  <dimension ref="A1:I48"/>
  <sheetViews>
    <sheetView topLeftCell="A35" zoomScaleNormal="100" zoomScaleSheetLayoutView="100" workbookViewId="0">
      <selection activeCell="A49" sqref="A49"/>
    </sheetView>
  </sheetViews>
  <sheetFormatPr defaultColWidth="8.85546875" defaultRowHeight="15"/>
  <cols>
    <col min="1" max="1" width="10.85546875" style="1" bestFit="1" customWidth="1"/>
    <col min="8" max="8" width="10.42578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s="3">
        <f>SUM(B7:F106)/(COUNT(B7:F106)-COUNTIF(B7:F106,0))</f>
        <v>26.319277108433734</v>
      </c>
    </row>
    <row r="2" spans="1:9">
      <c r="B2">
        <f>SUM(B7:B1006)</f>
        <v>959</v>
      </c>
      <c r="C2">
        <f t="shared" ref="C2:F2" si="0">SUM(C7:C1006)</f>
        <v>735</v>
      </c>
      <c r="D2">
        <f t="shared" si="0"/>
        <v>787</v>
      </c>
      <c r="E2">
        <f t="shared" si="0"/>
        <v>836</v>
      </c>
      <c r="F2">
        <f t="shared" si="0"/>
        <v>1052</v>
      </c>
    </row>
    <row r="3" spans="1:9">
      <c r="B3" t="str">
        <f>IF(MIN($B$2:$F$2)=B2,"Leader",_xlfn.CONCAT("+",B2-MIN($B$2:$F$2)))</f>
        <v>+224</v>
      </c>
      <c r="C3" t="str">
        <f t="shared" ref="C3:F3" si="1">IF(MIN($B$2:$F$2)=C2,"Leader",_xlfn.CONCAT("+",C2-MIN($B$2:$F$2)))</f>
        <v>Leader</v>
      </c>
      <c r="D3" t="str">
        <f t="shared" si="1"/>
        <v>+52</v>
      </c>
      <c r="E3" t="str">
        <f t="shared" si="1"/>
        <v>+101</v>
      </c>
      <c r="F3" t="str">
        <f t="shared" si="1"/>
        <v>+317</v>
      </c>
    </row>
    <row r="5" spans="1:9">
      <c r="B5">
        <f>COUNTIF(B7:B1007,0)</f>
        <v>9</v>
      </c>
      <c r="C5">
        <f t="shared" ref="C5:F5" si="2">COUNTIF(C7:C1007,0)</f>
        <v>9</v>
      </c>
      <c r="D5">
        <f t="shared" si="2"/>
        <v>12</v>
      </c>
      <c r="E5">
        <f t="shared" si="2"/>
        <v>10</v>
      </c>
      <c r="F5">
        <f t="shared" si="2"/>
        <v>4</v>
      </c>
    </row>
    <row r="7" spans="1:9">
      <c r="A7" s="1">
        <v>44321</v>
      </c>
      <c r="B7">
        <v>0</v>
      </c>
      <c r="C7">
        <v>29</v>
      </c>
      <c r="D7">
        <v>48</v>
      </c>
      <c r="E7">
        <v>37</v>
      </c>
      <c r="F7">
        <v>37</v>
      </c>
    </row>
    <row r="8" spans="1:9">
      <c r="A8" s="1">
        <v>44321</v>
      </c>
      <c r="B8">
        <v>61</v>
      </c>
      <c r="C8">
        <v>52</v>
      </c>
      <c r="D8">
        <v>21</v>
      </c>
      <c r="E8">
        <v>23</v>
      </c>
      <c r="F8">
        <v>0</v>
      </c>
    </row>
    <row r="9" spans="1:9">
      <c r="A9" s="1">
        <v>44321</v>
      </c>
      <c r="B9">
        <v>54</v>
      </c>
      <c r="C9">
        <v>42</v>
      </c>
      <c r="D9">
        <v>0</v>
      </c>
      <c r="E9">
        <v>19</v>
      </c>
      <c r="F9">
        <v>57</v>
      </c>
    </row>
    <row r="10" spans="1:9">
      <c r="A10" s="1">
        <v>44321</v>
      </c>
      <c r="B10">
        <v>54</v>
      </c>
      <c r="C10">
        <v>8</v>
      </c>
      <c r="D10">
        <v>0</v>
      </c>
      <c r="E10">
        <v>35</v>
      </c>
      <c r="F10">
        <v>10</v>
      </c>
    </row>
    <row r="11" spans="1:9">
      <c r="A11" s="1">
        <v>44321</v>
      </c>
      <c r="B11">
        <v>57</v>
      </c>
      <c r="C11">
        <v>30</v>
      </c>
      <c r="D11">
        <v>25</v>
      </c>
      <c r="E11">
        <v>0</v>
      </c>
      <c r="F11">
        <v>77</v>
      </c>
    </row>
    <row r="12" spans="1:9">
      <c r="A12" s="1">
        <v>44321</v>
      </c>
      <c r="B12">
        <v>29</v>
      </c>
      <c r="C12">
        <v>1</v>
      </c>
      <c r="D12">
        <v>23</v>
      </c>
      <c r="E12">
        <v>0</v>
      </c>
      <c r="F12">
        <v>10</v>
      </c>
    </row>
    <row r="13" spans="1:9">
      <c r="A13" s="1">
        <v>44321</v>
      </c>
      <c r="B13">
        <v>5</v>
      </c>
      <c r="C13">
        <v>26</v>
      </c>
      <c r="D13">
        <v>0</v>
      </c>
      <c r="E13">
        <v>2</v>
      </c>
      <c r="F13">
        <v>27</v>
      </c>
    </row>
    <row r="14" spans="1:9">
      <c r="A14" s="1">
        <v>44321</v>
      </c>
      <c r="B14">
        <v>0</v>
      </c>
      <c r="C14">
        <v>14</v>
      </c>
      <c r="D14">
        <v>22</v>
      </c>
      <c r="E14">
        <v>56</v>
      </c>
      <c r="F14">
        <v>36</v>
      </c>
    </row>
    <row r="15" spans="1:9">
      <c r="A15" s="1">
        <v>44326</v>
      </c>
      <c r="B15">
        <v>45</v>
      </c>
      <c r="C15">
        <v>35</v>
      </c>
      <c r="D15">
        <v>26</v>
      </c>
      <c r="E15">
        <v>6</v>
      </c>
      <c r="F15">
        <v>0</v>
      </c>
    </row>
    <row r="16" spans="1:9">
      <c r="A16" s="1">
        <v>44326</v>
      </c>
      <c r="B16">
        <v>12</v>
      </c>
      <c r="C16">
        <v>9</v>
      </c>
      <c r="D16">
        <v>0</v>
      </c>
      <c r="E16">
        <v>3</v>
      </c>
      <c r="F16">
        <v>22</v>
      </c>
    </row>
    <row r="17" spans="1:6">
      <c r="A17" s="1">
        <v>44326</v>
      </c>
      <c r="B17">
        <v>0</v>
      </c>
      <c r="C17">
        <v>6</v>
      </c>
      <c r="D17">
        <v>5</v>
      </c>
      <c r="E17">
        <v>36</v>
      </c>
      <c r="F17">
        <v>9</v>
      </c>
    </row>
    <row r="18" spans="1:6">
      <c r="A18" s="1">
        <v>44326</v>
      </c>
      <c r="B18">
        <v>7</v>
      </c>
      <c r="C18">
        <v>10</v>
      </c>
      <c r="D18">
        <v>11</v>
      </c>
      <c r="E18">
        <v>0</v>
      </c>
      <c r="F18">
        <v>28</v>
      </c>
    </row>
    <row r="19" spans="1:6">
      <c r="A19" s="1">
        <v>44326</v>
      </c>
      <c r="B19">
        <v>5</v>
      </c>
      <c r="C19">
        <v>19</v>
      </c>
      <c r="D19">
        <v>0</v>
      </c>
      <c r="E19">
        <v>3</v>
      </c>
      <c r="F19">
        <v>65</v>
      </c>
    </row>
    <row r="20" spans="1:6">
      <c r="A20" s="1">
        <v>44335</v>
      </c>
      <c r="B20">
        <v>0</v>
      </c>
      <c r="C20">
        <v>66</v>
      </c>
      <c r="D20">
        <v>51</v>
      </c>
      <c r="E20">
        <v>77</v>
      </c>
      <c r="F20">
        <v>66</v>
      </c>
    </row>
    <row r="21" spans="1:6">
      <c r="A21" s="1">
        <v>44335</v>
      </c>
      <c r="B21">
        <v>20</v>
      </c>
      <c r="C21">
        <v>0</v>
      </c>
      <c r="D21">
        <v>29</v>
      </c>
      <c r="E21">
        <v>19</v>
      </c>
      <c r="F21">
        <v>53</v>
      </c>
    </row>
    <row r="22" spans="1:6">
      <c r="A22" s="1">
        <v>44335</v>
      </c>
      <c r="B22">
        <v>0</v>
      </c>
      <c r="C22">
        <v>0</v>
      </c>
      <c r="D22">
        <v>12</v>
      </c>
      <c r="E22">
        <v>39</v>
      </c>
      <c r="F22">
        <v>15</v>
      </c>
    </row>
    <row r="23" spans="1:6">
      <c r="A23" s="1">
        <v>44335</v>
      </c>
      <c r="B23">
        <v>0</v>
      </c>
      <c r="C23">
        <v>8</v>
      </c>
      <c r="D23">
        <v>22</v>
      </c>
      <c r="E23">
        <v>33</v>
      </c>
      <c r="F23">
        <v>19</v>
      </c>
    </row>
    <row r="24" spans="1:6">
      <c r="A24" s="1">
        <v>44335</v>
      </c>
      <c r="B24">
        <v>2</v>
      </c>
      <c r="C24">
        <v>3</v>
      </c>
      <c r="D24">
        <v>6</v>
      </c>
      <c r="E24">
        <v>0</v>
      </c>
      <c r="F24">
        <v>42</v>
      </c>
    </row>
    <row r="25" spans="1:6">
      <c r="A25" s="1">
        <v>44435</v>
      </c>
      <c r="B25">
        <v>26</v>
      </c>
      <c r="C25">
        <v>20</v>
      </c>
      <c r="D25">
        <v>10</v>
      </c>
      <c r="E25">
        <v>0</v>
      </c>
      <c r="F25">
        <v>3</v>
      </c>
    </row>
    <row r="26" spans="1:6">
      <c r="A26" s="1">
        <v>44435</v>
      </c>
      <c r="B26">
        <v>0</v>
      </c>
      <c r="C26">
        <v>4</v>
      </c>
      <c r="D26">
        <v>1</v>
      </c>
      <c r="E26">
        <v>33</v>
      </c>
      <c r="F26">
        <v>3</v>
      </c>
    </row>
    <row r="27" spans="1:6">
      <c r="A27" s="1">
        <v>44435</v>
      </c>
      <c r="B27">
        <v>52</v>
      </c>
      <c r="C27">
        <v>23</v>
      </c>
      <c r="D27">
        <v>0</v>
      </c>
      <c r="E27">
        <v>8</v>
      </c>
      <c r="F27">
        <v>1</v>
      </c>
    </row>
    <row r="28" spans="1:6">
      <c r="A28" s="1">
        <v>44435</v>
      </c>
      <c r="B28">
        <v>10</v>
      </c>
      <c r="C28">
        <v>5</v>
      </c>
      <c r="D28">
        <v>0</v>
      </c>
      <c r="E28">
        <v>4</v>
      </c>
      <c r="F28">
        <v>49</v>
      </c>
    </row>
    <row r="29" spans="1:6">
      <c r="A29" s="1">
        <v>44435</v>
      </c>
      <c r="B29">
        <v>28</v>
      </c>
      <c r="C29">
        <v>0</v>
      </c>
      <c r="D29">
        <v>15</v>
      </c>
      <c r="E29">
        <v>24</v>
      </c>
      <c r="F29">
        <v>13</v>
      </c>
    </row>
    <row r="30" spans="1:6">
      <c r="A30" s="1">
        <v>44448</v>
      </c>
      <c r="B30">
        <v>1</v>
      </c>
      <c r="C30">
        <v>0</v>
      </c>
      <c r="D30">
        <v>1</v>
      </c>
      <c r="E30">
        <v>43</v>
      </c>
      <c r="F30">
        <v>11</v>
      </c>
    </row>
    <row r="31" spans="1:6">
      <c r="A31" s="1">
        <v>44448</v>
      </c>
      <c r="B31">
        <v>55</v>
      </c>
      <c r="C31">
        <v>0</v>
      </c>
      <c r="D31">
        <v>20</v>
      </c>
      <c r="E31">
        <v>18</v>
      </c>
      <c r="F31">
        <v>40</v>
      </c>
    </row>
    <row r="32" spans="1:6">
      <c r="A32" s="1">
        <v>44448</v>
      </c>
      <c r="B32">
        <v>27</v>
      </c>
      <c r="C32">
        <v>0</v>
      </c>
      <c r="D32">
        <v>78</v>
      </c>
      <c r="E32">
        <v>14</v>
      </c>
      <c r="F32">
        <v>8</v>
      </c>
    </row>
    <row r="33" spans="1:6">
      <c r="A33" s="1">
        <v>44448</v>
      </c>
      <c r="B33">
        <v>30</v>
      </c>
      <c r="C33">
        <v>48</v>
      </c>
      <c r="D33">
        <v>0</v>
      </c>
      <c r="E33">
        <v>57</v>
      </c>
      <c r="F33">
        <v>24</v>
      </c>
    </row>
    <row r="34" spans="1:6">
      <c r="A34" s="1">
        <v>44448</v>
      </c>
      <c r="B34">
        <v>13</v>
      </c>
      <c r="C34">
        <v>6</v>
      </c>
      <c r="D34">
        <v>3</v>
      </c>
      <c r="E34">
        <v>0</v>
      </c>
      <c r="F34">
        <v>34</v>
      </c>
    </row>
    <row r="35" spans="1:6">
      <c r="A35" s="1">
        <v>44463</v>
      </c>
      <c r="B35">
        <v>75</v>
      </c>
      <c r="C35">
        <v>24</v>
      </c>
      <c r="D35">
        <v>0</v>
      </c>
      <c r="E35">
        <v>2</v>
      </c>
      <c r="F35">
        <v>19</v>
      </c>
    </row>
    <row r="36" spans="1:6">
      <c r="A36" s="1">
        <v>44463</v>
      </c>
      <c r="B36">
        <v>37</v>
      </c>
      <c r="C36">
        <v>0</v>
      </c>
      <c r="D36">
        <v>49</v>
      </c>
      <c r="E36">
        <v>35</v>
      </c>
      <c r="F36">
        <v>70</v>
      </c>
    </row>
    <row r="37" spans="1:6">
      <c r="A37" s="1">
        <v>44463</v>
      </c>
      <c r="B37">
        <v>15</v>
      </c>
      <c r="C37">
        <v>0</v>
      </c>
      <c r="D37">
        <v>16</v>
      </c>
      <c r="E37">
        <v>5</v>
      </c>
      <c r="F37">
        <v>28</v>
      </c>
    </row>
    <row r="38" spans="1:6">
      <c r="A38" s="1">
        <v>44463</v>
      </c>
      <c r="B38">
        <v>17</v>
      </c>
      <c r="C38">
        <v>38</v>
      </c>
      <c r="D38">
        <v>0</v>
      </c>
      <c r="E38">
        <v>0</v>
      </c>
      <c r="F38">
        <v>1</v>
      </c>
    </row>
    <row r="39" spans="1:6">
      <c r="A39" s="1">
        <v>44463</v>
      </c>
      <c r="B39">
        <v>0</v>
      </c>
      <c r="C39">
        <v>66</v>
      </c>
      <c r="D39">
        <v>47</v>
      </c>
      <c r="E39">
        <v>16</v>
      </c>
      <c r="F39">
        <v>48</v>
      </c>
    </row>
    <row r="40" spans="1:6">
      <c r="A40" s="1">
        <v>44463</v>
      </c>
      <c r="B40">
        <v>53</v>
      </c>
      <c r="C40">
        <v>0</v>
      </c>
      <c r="D40">
        <v>23</v>
      </c>
      <c r="E40">
        <v>5</v>
      </c>
      <c r="F40">
        <v>15</v>
      </c>
    </row>
    <row r="41" spans="1:6">
      <c r="A41" s="1">
        <v>44463</v>
      </c>
      <c r="B41">
        <v>4</v>
      </c>
      <c r="C41">
        <v>16</v>
      </c>
      <c r="D41">
        <v>0</v>
      </c>
      <c r="E41">
        <v>51</v>
      </c>
      <c r="F41">
        <v>10</v>
      </c>
    </row>
    <row r="42" spans="1:6">
      <c r="A42" s="1">
        <v>44463</v>
      </c>
      <c r="B42">
        <v>0</v>
      </c>
      <c r="C42">
        <v>9</v>
      </c>
      <c r="D42">
        <v>87</v>
      </c>
      <c r="E42">
        <v>32</v>
      </c>
      <c r="F42">
        <v>39</v>
      </c>
    </row>
    <row r="43" spans="1:6">
      <c r="A43" s="1">
        <v>44463</v>
      </c>
      <c r="B43">
        <v>28</v>
      </c>
      <c r="C43">
        <v>20</v>
      </c>
      <c r="D43">
        <v>27</v>
      </c>
      <c r="E43">
        <v>34</v>
      </c>
      <c r="F43">
        <v>0</v>
      </c>
    </row>
    <row r="44" spans="1:6">
      <c r="A44" s="1">
        <v>44463</v>
      </c>
      <c r="B44">
        <v>64</v>
      </c>
      <c r="C44">
        <v>8</v>
      </c>
      <c r="D44">
        <v>13</v>
      </c>
      <c r="E44">
        <v>0</v>
      </c>
      <c r="F44">
        <v>16</v>
      </c>
    </row>
    <row r="45" spans="1:6">
      <c r="A45" s="1">
        <v>44569</v>
      </c>
      <c r="B45">
        <v>23</v>
      </c>
      <c r="C45">
        <v>31</v>
      </c>
      <c r="D45">
        <v>10</v>
      </c>
      <c r="E45">
        <v>0</v>
      </c>
      <c r="F45">
        <v>2</v>
      </c>
    </row>
    <row r="46" spans="1:6">
      <c r="A46" s="1">
        <v>44569</v>
      </c>
      <c r="B46">
        <v>11</v>
      </c>
      <c r="C46">
        <v>18</v>
      </c>
      <c r="D46">
        <v>42</v>
      </c>
      <c r="E46">
        <v>0</v>
      </c>
      <c r="F46">
        <v>2</v>
      </c>
    </row>
    <row r="47" spans="1:6">
      <c r="A47" s="1">
        <v>44569</v>
      </c>
      <c r="B47">
        <v>25</v>
      </c>
      <c r="C47">
        <v>32</v>
      </c>
      <c r="D47">
        <v>44</v>
      </c>
      <c r="E47">
        <v>33</v>
      </c>
      <c r="F47">
        <v>0</v>
      </c>
    </row>
    <row r="48" spans="1:6">
      <c r="A48" s="1">
        <v>44569</v>
      </c>
      <c r="B48">
        <v>14</v>
      </c>
      <c r="C48">
        <v>9</v>
      </c>
      <c r="D48">
        <v>0</v>
      </c>
      <c r="E48">
        <v>34</v>
      </c>
      <c r="F48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2000-51B4-1A49-B1D7-F4456C5DE431}">
  <dimension ref="A1:J18"/>
  <sheetViews>
    <sheetView zoomScaleNormal="100" zoomScaleSheetLayoutView="100" workbookViewId="0">
      <selection activeCell="A19" sqref="A19"/>
    </sheetView>
  </sheetViews>
  <sheetFormatPr defaultColWidth="8.85546875" defaultRowHeight="15"/>
  <cols>
    <col min="1" max="1" width="10.85546875" style="1" bestFit="1" customWidth="1"/>
    <col min="9" max="9" width="10.42578125" bestFit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I1" t="s">
        <v>6</v>
      </c>
      <c r="J1" s="3">
        <f>SUM(B7:F106)/(COUNT(B7:F106)-COUNTIF(B7:F106,0))</f>
        <v>24.509803921568629</v>
      </c>
    </row>
    <row r="2" spans="1:10">
      <c r="B2">
        <f>SUM(B7:B1006)</f>
        <v>203</v>
      </c>
      <c r="C2">
        <f t="shared" ref="C2:F2" si="0">SUM(C7:C1006)</f>
        <v>308</v>
      </c>
      <c r="D2">
        <f t="shared" si="0"/>
        <v>227</v>
      </c>
      <c r="E2">
        <f t="shared" si="0"/>
        <v>297</v>
      </c>
      <c r="F2">
        <f t="shared" si="0"/>
        <v>215</v>
      </c>
      <c r="G2">
        <f t="shared" ref="G2" si="1">SUM(G7:G1006)</f>
        <v>165</v>
      </c>
    </row>
    <row r="3" spans="1:10">
      <c r="B3" t="str">
        <f>IF(MIN($B$2:$G$2)=B2,"Leader",_xlfn.CONCAT("+",B2-MIN($B$2:$G$2)))</f>
        <v>+38</v>
      </c>
      <c r="C3" t="str">
        <f t="shared" ref="C3:G3" si="2">IF(MIN($B$2:$G$2)=C2,"Leader",_xlfn.CONCAT("+",C2-MIN($B$2:$G$2)))</f>
        <v>+143</v>
      </c>
      <c r="D3" t="str">
        <f t="shared" si="2"/>
        <v>+62</v>
      </c>
      <c r="E3" t="str">
        <f t="shared" si="2"/>
        <v>+132</v>
      </c>
      <c r="F3" t="str">
        <f t="shared" si="2"/>
        <v>+50</v>
      </c>
      <c r="G3" t="str">
        <f t="shared" si="2"/>
        <v>Leader</v>
      </c>
    </row>
    <row r="5" spans="1:10">
      <c r="B5">
        <f>COUNTIF(B7:B1007,0)</f>
        <v>2</v>
      </c>
      <c r="C5">
        <f t="shared" ref="C5:F5" si="3">COUNTIF(C7:C1007,0)</f>
        <v>2</v>
      </c>
      <c r="D5">
        <f t="shared" si="3"/>
        <v>4</v>
      </c>
      <c r="E5">
        <f t="shared" si="3"/>
        <v>0</v>
      </c>
      <c r="F5">
        <f t="shared" si="3"/>
        <v>1</v>
      </c>
      <c r="G5">
        <f t="shared" ref="G5" si="4">COUNTIF(G7:G1007,0)</f>
        <v>3</v>
      </c>
    </row>
    <row r="7" spans="1:10">
      <c r="A7" s="1">
        <v>44540</v>
      </c>
      <c r="B7">
        <v>14</v>
      </c>
      <c r="C7">
        <v>2</v>
      </c>
      <c r="D7">
        <v>0</v>
      </c>
      <c r="E7">
        <v>34</v>
      </c>
      <c r="F7">
        <v>4</v>
      </c>
      <c r="G7">
        <v>6</v>
      </c>
    </row>
    <row r="8" spans="1:10">
      <c r="A8" s="1">
        <v>44540</v>
      </c>
      <c r="B8">
        <v>31</v>
      </c>
      <c r="C8">
        <v>25</v>
      </c>
      <c r="D8">
        <v>0</v>
      </c>
      <c r="E8">
        <v>44</v>
      </c>
      <c r="F8">
        <v>2</v>
      </c>
      <c r="G8">
        <v>2</v>
      </c>
    </row>
    <row r="9" spans="1:10">
      <c r="A9" s="1">
        <v>44540</v>
      </c>
      <c r="B9">
        <v>0</v>
      </c>
      <c r="C9">
        <v>21</v>
      </c>
      <c r="D9">
        <v>1</v>
      </c>
      <c r="E9">
        <v>36</v>
      </c>
      <c r="F9">
        <v>1</v>
      </c>
      <c r="G9">
        <v>9</v>
      </c>
    </row>
    <row r="10" spans="1:10">
      <c r="A10" s="1">
        <v>44540</v>
      </c>
      <c r="B10">
        <v>5</v>
      </c>
      <c r="C10">
        <v>0</v>
      </c>
      <c r="D10">
        <v>1</v>
      </c>
      <c r="E10">
        <v>2</v>
      </c>
      <c r="F10">
        <v>7</v>
      </c>
      <c r="G10">
        <v>28</v>
      </c>
    </row>
    <row r="11" spans="1:10">
      <c r="A11" s="1">
        <v>44540</v>
      </c>
      <c r="B11">
        <v>2</v>
      </c>
      <c r="C11">
        <v>1</v>
      </c>
      <c r="D11">
        <v>0</v>
      </c>
      <c r="E11">
        <v>3</v>
      </c>
      <c r="F11">
        <v>41</v>
      </c>
      <c r="G11">
        <v>5</v>
      </c>
    </row>
    <row r="12" spans="1:10">
      <c r="A12" s="1">
        <v>44548</v>
      </c>
      <c r="B12">
        <v>0</v>
      </c>
      <c r="C12">
        <v>58</v>
      </c>
      <c r="D12">
        <v>83</v>
      </c>
      <c r="E12">
        <v>30</v>
      </c>
      <c r="F12">
        <v>73</v>
      </c>
      <c r="G12">
        <v>67</v>
      </c>
    </row>
    <row r="13" spans="1:10">
      <c r="A13" s="1">
        <v>44548</v>
      </c>
      <c r="B13">
        <v>35</v>
      </c>
      <c r="C13">
        <v>2</v>
      </c>
      <c r="D13">
        <v>23</v>
      </c>
      <c r="E13">
        <v>3</v>
      </c>
      <c r="F13">
        <v>9</v>
      </c>
      <c r="G13">
        <v>0</v>
      </c>
    </row>
    <row r="14" spans="1:10">
      <c r="A14" s="1">
        <v>44548</v>
      </c>
      <c r="B14">
        <v>13</v>
      </c>
      <c r="C14">
        <v>0</v>
      </c>
      <c r="D14">
        <v>22</v>
      </c>
      <c r="E14">
        <v>34</v>
      </c>
      <c r="F14">
        <v>4</v>
      </c>
      <c r="G14">
        <v>8</v>
      </c>
    </row>
    <row r="15" spans="1:10">
      <c r="A15" s="1">
        <v>44548</v>
      </c>
      <c r="B15">
        <v>53</v>
      </c>
      <c r="C15">
        <v>10</v>
      </c>
      <c r="D15">
        <v>46</v>
      </c>
      <c r="E15">
        <v>29</v>
      </c>
      <c r="F15">
        <v>0</v>
      </c>
      <c r="G15">
        <v>23</v>
      </c>
    </row>
    <row r="16" spans="1:10">
      <c r="A16" s="1">
        <v>44569</v>
      </c>
      <c r="B16">
        <v>13</v>
      </c>
      <c r="C16">
        <v>64</v>
      </c>
      <c r="D16">
        <v>34</v>
      </c>
      <c r="E16">
        <v>17</v>
      </c>
      <c r="F16">
        <v>25</v>
      </c>
      <c r="G16">
        <v>0</v>
      </c>
    </row>
    <row r="17" spans="1:7">
      <c r="A17" s="1">
        <v>44569</v>
      </c>
      <c r="B17">
        <v>12</v>
      </c>
      <c r="C17">
        <v>42</v>
      </c>
      <c r="D17">
        <v>17</v>
      </c>
      <c r="E17">
        <v>6</v>
      </c>
      <c r="F17">
        <v>3</v>
      </c>
      <c r="G17">
        <v>0</v>
      </c>
    </row>
    <row r="18" spans="1:7">
      <c r="A18" s="1">
        <v>44569</v>
      </c>
      <c r="B18">
        <v>25</v>
      </c>
      <c r="C18">
        <v>83</v>
      </c>
      <c r="D18">
        <v>0</v>
      </c>
      <c r="E18">
        <v>59</v>
      </c>
      <c r="F18">
        <v>46</v>
      </c>
      <c r="G1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8942-9A9F-714D-B4B2-CF251C1E10C2}">
  <dimension ref="A1:H56"/>
  <sheetViews>
    <sheetView tabSelected="1" zoomScaleNormal="100" zoomScaleSheetLayoutView="100" workbookViewId="0">
      <pane ySplit="3" topLeftCell="A4" activePane="bottomLeft" state="frozen"/>
      <selection pane="bottomLeft" activeCell="A57" sqref="A57"/>
      <selection activeCell="D5" sqref="D5"/>
    </sheetView>
  </sheetViews>
  <sheetFormatPr defaultColWidth="8.85546875" defaultRowHeight="15"/>
  <cols>
    <col min="1" max="1" width="10.85546875" style="1" bestFit="1" customWidth="1"/>
    <col min="7" max="7" width="10.42578125" bestFit="1" customWidth="1"/>
  </cols>
  <sheetData>
    <row r="1" spans="1:8">
      <c r="A1" s="1" t="s">
        <v>0</v>
      </c>
      <c r="B1" t="s">
        <v>1</v>
      </c>
      <c r="C1" t="s">
        <v>2</v>
      </c>
      <c r="D1" t="s">
        <v>4</v>
      </c>
      <c r="E1" t="s">
        <v>3</v>
      </c>
      <c r="G1" t="s">
        <v>6</v>
      </c>
      <c r="H1" s="3">
        <f>SUM(B7:E106)/(COUNT(B7:E106)-COUNTIF(B7:E106,0))</f>
        <v>23.902097902097903</v>
      </c>
    </row>
    <row r="2" spans="1:8">
      <c r="B2">
        <f>SUM(B7:B1006)</f>
        <v>858</v>
      </c>
      <c r="C2">
        <f t="shared" ref="C2:E2" si="0">SUM(C7:C1006)</f>
        <v>777</v>
      </c>
      <c r="D2">
        <f t="shared" si="0"/>
        <v>945</v>
      </c>
      <c r="E2">
        <f t="shared" si="0"/>
        <v>838</v>
      </c>
    </row>
    <row r="3" spans="1:8">
      <c r="B3" t="str">
        <f>IF(MIN($B$2:$E$2)=B2,"Leader",_xlfn.CONCAT("+",B2-MIN($B$2:$E$2)))</f>
        <v>+81</v>
      </c>
      <c r="C3" t="str">
        <f>IF(MIN($B$2:$E$2)=C2,"Leader",_xlfn.CONCAT("+",C2-MIN($B$2:$E$2)))</f>
        <v>Leader</v>
      </c>
      <c r="D3" t="str">
        <f>IF(MIN($B$2:$E$2)=D2,"Leader",_xlfn.CONCAT("+",D2-MIN($B$2:$E$2)))</f>
        <v>+168</v>
      </c>
      <c r="E3" t="str">
        <f>IF(MIN($B$2:$E$2)=E2,"Leader",_xlfn.CONCAT("+",E2-MIN($B$2:$E$2)))</f>
        <v>+61</v>
      </c>
    </row>
    <row r="5" spans="1:8">
      <c r="A5" s="1">
        <f ca="1">TODAY()</f>
        <v>44617</v>
      </c>
      <c r="B5">
        <f ca="1">SUMIF($A$7:$A$1007,$A$5,B7:B1007)</f>
        <v>0</v>
      </c>
      <c r="C5">
        <f t="shared" ref="C5:E5" ca="1" si="1">SUMIF($A$7:$A$1007,$A$5,C7:C1007)</f>
        <v>0</v>
      </c>
      <c r="D5">
        <f t="shared" ca="1" si="1"/>
        <v>0</v>
      </c>
      <c r="E5">
        <f t="shared" ca="1" si="1"/>
        <v>0</v>
      </c>
    </row>
    <row r="7" spans="1:8">
      <c r="A7" s="1">
        <v>44498</v>
      </c>
      <c r="B7">
        <v>43</v>
      </c>
      <c r="C7">
        <v>0</v>
      </c>
      <c r="D7">
        <v>19</v>
      </c>
      <c r="E7">
        <v>6</v>
      </c>
    </row>
    <row r="8" spans="1:8">
      <c r="A8" s="1">
        <v>44498</v>
      </c>
      <c r="B8">
        <v>31</v>
      </c>
      <c r="C8">
        <v>43</v>
      </c>
      <c r="D8">
        <v>0</v>
      </c>
      <c r="E8">
        <v>33</v>
      </c>
    </row>
    <row r="9" spans="1:8">
      <c r="A9" s="1">
        <v>44498</v>
      </c>
      <c r="B9">
        <v>31</v>
      </c>
      <c r="C9">
        <v>0</v>
      </c>
      <c r="D9">
        <v>4</v>
      </c>
      <c r="E9">
        <v>41</v>
      </c>
    </row>
    <row r="10" spans="1:8">
      <c r="A10" s="1">
        <v>44498</v>
      </c>
      <c r="B10">
        <v>28</v>
      </c>
      <c r="C10">
        <v>17</v>
      </c>
      <c r="D10">
        <v>33</v>
      </c>
      <c r="E10">
        <v>0</v>
      </c>
    </row>
    <row r="11" spans="1:8">
      <c r="A11" s="1">
        <v>44498</v>
      </c>
      <c r="B11">
        <v>0</v>
      </c>
      <c r="C11">
        <v>9</v>
      </c>
      <c r="D11">
        <v>29</v>
      </c>
      <c r="E11">
        <v>30</v>
      </c>
    </row>
    <row r="12" spans="1:8">
      <c r="A12" s="1">
        <v>44498</v>
      </c>
      <c r="B12">
        <v>0</v>
      </c>
      <c r="C12">
        <v>30</v>
      </c>
      <c r="D12">
        <v>9</v>
      </c>
      <c r="E12">
        <v>68</v>
      </c>
    </row>
    <row r="13" spans="1:8">
      <c r="A13" s="1">
        <v>44498</v>
      </c>
      <c r="B13">
        <v>0</v>
      </c>
      <c r="C13">
        <v>28</v>
      </c>
      <c r="D13">
        <v>6</v>
      </c>
      <c r="E13">
        <v>4</v>
      </c>
    </row>
    <row r="14" spans="1:8">
      <c r="A14" s="1">
        <v>44498</v>
      </c>
      <c r="B14">
        <v>22</v>
      </c>
      <c r="C14">
        <v>0</v>
      </c>
      <c r="D14">
        <v>12</v>
      </c>
      <c r="E14">
        <v>80</v>
      </c>
    </row>
    <row r="15" spans="1:8">
      <c r="A15" s="1">
        <v>44498</v>
      </c>
      <c r="B15">
        <v>0</v>
      </c>
      <c r="C15">
        <v>3</v>
      </c>
      <c r="D15">
        <v>0</v>
      </c>
      <c r="E15">
        <v>25</v>
      </c>
    </row>
    <row r="16" spans="1:8">
      <c r="A16" s="1">
        <v>44498</v>
      </c>
      <c r="B16">
        <v>44</v>
      </c>
      <c r="C16">
        <v>0</v>
      </c>
      <c r="D16">
        <v>2</v>
      </c>
      <c r="E16">
        <v>21</v>
      </c>
    </row>
    <row r="17" spans="1:5">
      <c r="A17" s="1">
        <v>44519</v>
      </c>
      <c r="B17">
        <v>0</v>
      </c>
      <c r="C17">
        <v>37</v>
      </c>
      <c r="D17">
        <v>6</v>
      </c>
      <c r="E17">
        <v>22</v>
      </c>
    </row>
    <row r="18" spans="1:5">
      <c r="A18" s="1">
        <v>44519</v>
      </c>
      <c r="B18">
        <v>29</v>
      </c>
      <c r="C18">
        <v>24</v>
      </c>
      <c r="D18">
        <v>0</v>
      </c>
      <c r="E18">
        <v>13</v>
      </c>
    </row>
    <row r="19" spans="1:5">
      <c r="A19" s="1">
        <v>44519</v>
      </c>
      <c r="B19">
        <v>3</v>
      </c>
      <c r="C19">
        <v>32</v>
      </c>
      <c r="D19">
        <v>0</v>
      </c>
      <c r="E19">
        <v>6</v>
      </c>
    </row>
    <row r="20" spans="1:5">
      <c r="A20" s="1">
        <v>44519</v>
      </c>
      <c r="B20">
        <v>0</v>
      </c>
      <c r="C20">
        <v>72</v>
      </c>
      <c r="D20">
        <v>22</v>
      </c>
      <c r="E20">
        <v>20</v>
      </c>
    </row>
    <row r="21" spans="1:5">
      <c r="A21" s="1">
        <v>44519</v>
      </c>
      <c r="B21">
        <v>4</v>
      </c>
      <c r="C21">
        <v>6</v>
      </c>
      <c r="D21">
        <v>41</v>
      </c>
      <c r="E21">
        <v>0</v>
      </c>
    </row>
    <row r="22" spans="1:5">
      <c r="A22" s="1">
        <v>44519</v>
      </c>
      <c r="B22">
        <v>28</v>
      </c>
      <c r="C22">
        <v>0</v>
      </c>
      <c r="D22">
        <v>32</v>
      </c>
      <c r="E22">
        <v>1</v>
      </c>
    </row>
    <row r="23" spans="1:5">
      <c r="A23" s="1">
        <v>44519</v>
      </c>
      <c r="B23">
        <v>28</v>
      </c>
      <c r="C23">
        <v>22</v>
      </c>
      <c r="D23">
        <v>0</v>
      </c>
      <c r="E23">
        <v>10</v>
      </c>
    </row>
    <row r="24" spans="1:5">
      <c r="A24" s="1">
        <v>44519</v>
      </c>
      <c r="B24">
        <v>10</v>
      </c>
      <c r="C24">
        <v>0</v>
      </c>
      <c r="D24">
        <v>26</v>
      </c>
      <c r="E24">
        <v>10</v>
      </c>
    </row>
    <row r="25" spans="1:5">
      <c r="A25" s="1">
        <v>44519</v>
      </c>
      <c r="B25">
        <v>0</v>
      </c>
      <c r="C25">
        <v>37</v>
      </c>
      <c r="D25">
        <v>5</v>
      </c>
      <c r="E25">
        <v>7</v>
      </c>
    </row>
    <row r="26" spans="1:5">
      <c r="A26" s="1">
        <v>44519</v>
      </c>
      <c r="B26">
        <v>0</v>
      </c>
      <c r="C26">
        <v>33</v>
      </c>
      <c r="D26">
        <v>78</v>
      </c>
      <c r="E26">
        <v>27</v>
      </c>
    </row>
    <row r="27" spans="1:5">
      <c r="A27" s="1">
        <v>44534</v>
      </c>
      <c r="B27">
        <v>20</v>
      </c>
      <c r="C27">
        <v>1</v>
      </c>
      <c r="D27">
        <v>0</v>
      </c>
      <c r="E27">
        <v>50</v>
      </c>
    </row>
    <row r="28" spans="1:5">
      <c r="A28" s="1">
        <v>44534</v>
      </c>
      <c r="B28">
        <v>0</v>
      </c>
      <c r="C28">
        <v>31</v>
      </c>
      <c r="D28">
        <v>25</v>
      </c>
      <c r="E28">
        <v>0</v>
      </c>
    </row>
    <row r="29" spans="1:5">
      <c r="A29" s="1">
        <v>44534</v>
      </c>
      <c r="B29">
        <v>20</v>
      </c>
      <c r="C29">
        <v>1</v>
      </c>
      <c r="D29">
        <v>38</v>
      </c>
      <c r="E29">
        <v>0</v>
      </c>
    </row>
    <row r="30" spans="1:5">
      <c r="A30" s="1">
        <v>44534</v>
      </c>
      <c r="B30">
        <v>0</v>
      </c>
      <c r="C30">
        <v>0</v>
      </c>
      <c r="D30">
        <v>53</v>
      </c>
      <c r="E30">
        <v>14</v>
      </c>
    </row>
    <row r="31" spans="1:5">
      <c r="A31" s="1">
        <v>44534</v>
      </c>
      <c r="B31">
        <v>32</v>
      </c>
      <c r="C31">
        <v>33</v>
      </c>
      <c r="D31">
        <v>2</v>
      </c>
      <c r="E31">
        <v>0</v>
      </c>
    </row>
    <row r="32" spans="1:5">
      <c r="A32" s="1">
        <v>44534</v>
      </c>
      <c r="B32">
        <v>58</v>
      </c>
      <c r="C32">
        <v>33</v>
      </c>
      <c r="D32">
        <v>0</v>
      </c>
      <c r="E32">
        <v>34</v>
      </c>
    </row>
    <row r="33" spans="1:5">
      <c r="A33" s="1">
        <v>44534</v>
      </c>
      <c r="B33">
        <v>0</v>
      </c>
      <c r="C33">
        <v>9</v>
      </c>
      <c r="D33">
        <v>24</v>
      </c>
      <c r="E33">
        <v>0</v>
      </c>
    </row>
    <row r="34" spans="1:5">
      <c r="A34" s="1">
        <v>44534</v>
      </c>
      <c r="B34">
        <v>0</v>
      </c>
      <c r="C34">
        <v>28</v>
      </c>
      <c r="D34">
        <v>35</v>
      </c>
      <c r="E34">
        <v>19</v>
      </c>
    </row>
    <row r="35" spans="1:5">
      <c r="A35" s="1">
        <v>44534</v>
      </c>
      <c r="B35">
        <v>23</v>
      </c>
      <c r="C35">
        <v>1</v>
      </c>
      <c r="D35">
        <v>0</v>
      </c>
      <c r="E35">
        <v>2</v>
      </c>
    </row>
    <row r="36" spans="1:5">
      <c r="A36" s="1">
        <v>44534</v>
      </c>
      <c r="B36">
        <v>0</v>
      </c>
      <c r="C36">
        <v>10</v>
      </c>
      <c r="D36">
        <v>20</v>
      </c>
      <c r="E36">
        <v>51</v>
      </c>
    </row>
    <row r="37" spans="1:5">
      <c r="A37" s="1">
        <v>44589</v>
      </c>
      <c r="B37">
        <v>20</v>
      </c>
      <c r="C37">
        <v>0</v>
      </c>
      <c r="D37">
        <v>19</v>
      </c>
      <c r="E37">
        <v>21</v>
      </c>
    </row>
    <row r="38" spans="1:5">
      <c r="A38" s="1">
        <v>44589</v>
      </c>
      <c r="B38">
        <v>20</v>
      </c>
      <c r="C38">
        <v>0</v>
      </c>
      <c r="D38">
        <v>18</v>
      </c>
      <c r="E38">
        <v>0</v>
      </c>
    </row>
    <row r="39" spans="1:5">
      <c r="A39" s="1">
        <v>44589</v>
      </c>
      <c r="B39">
        <v>21</v>
      </c>
      <c r="C39">
        <v>0</v>
      </c>
      <c r="D39">
        <v>3</v>
      </c>
      <c r="E39">
        <v>24</v>
      </c>
    </row>
    <row r="40" spans="1:5">
      <c r="A40" s="1">
        <v>44589</v>
      </c>
      <c r="B40">
        <v>23</v>
      </c>
      <c r="C40">
        <v>2</v>
      </c>
      <c r="D40">
        <v>6</v>
      </c>
      <c r="E40">
        <v>0</v>
      </c>
    </row>
    <row r="41" spans="1:5">
      <c r="A41" s="1">
        <v>44589</v>
      </c>
      <c r="B41">
        <v>10</v>
      </c>
      <c r="C41">
        <v>35</v>
      </c>
      <c r="D41">
        <v>11</v>
      </c>
      <c r="E41">
        <v>0</v>
      </c>
    </row>
    <row r="42" spans="1:5">
      <c r="A42" s="1">
        <v>44589</v>
      </c>
      <c r="B42">
        <v>26</v>
      </c>
      <c r="C42">
        <v>0</v>
      </c>
      <c r="D42">
        <v>54</v>
      </c>
      <c r="E42">
        <v>29</v>
      </c>
    </row>
    <row r="43" spans="1:5">
      <c r="A43" s="1">
        <v>44589</v>
      </c>
      <c r="B43">
        <v>26</v>
      </c>
      <c r="C43">
        <v>42</v>
      </c>
      <c r="D43">
        <v>65</v>
      </c>
      <c r="E43">
        <v>0</v>
      </c>
    </row>
    <row r="44" spans="1:5">
      <c r="A44" s="1">
        <v>44589</v>
      </c>
      <c r="B44">
        <v>26</v>
      </c>
      <c r="C44">
        <v>0</v>
      </c>
      <c r="D44">
        <v>3</v>
      </c>
      <c r="E44">
        <v>0</v>
      </c>
    </row>
    <row r="45" spans="1:5">
      <c r="A45" s="1">
        <v>44589</v>
      </c>
      <c r="B45">
        <v>4</v>
      </c>
      <c r="C45">
        <v>0</v>
      </c>
      <c r="D45">
        <v>0</v>
      </c>
      <c r="E45">
        <v>22</v>
      </c>
    </row>
    <row r="46" spans="1:5">
      <c r="A46" s="1">
        <v>44589</v>
      </c>
      <c r="B46">
        <v>2</v>
      </c>
      <c r="C46">
        <v>1</v>
      </c>
      <c r="D46">
        <v>0</v>
      </c>
      <c r="E46">
        <v>21</v>
      </c>
    </row>
    <row r="47" spans="1:5">
      <c r="A47" s="1">
        <v>44610</v>
      </c>
      <c r="B47">
        <v>52</v>
      </c>
      <c r="C47">
        <v>1</v>
      </c>
      <c r="D47">
        <v>41</v>
      </c>
      <c r="E47">
        <v>0</v>
      </c>
    </row>
    <row r="48" spans="1:5">
      <c r="A48" s="1">
        <v>44610</v>
      </c>
      <c r="B48">
        <v>29</v>
      </c>
      <c r="C48">
        <v>0</v>
      </c>
      <c r="D48">
        <v>11</v>
      </c>
      <c r="E48">
        <v>10</v>
      </c>
    </row>
    <row r="49" spans="1:5">
      <c r="A49" s="1">
        <v>44610</v>
      </c>
      <c r="B49">
        <v>2</v>
      </c>
      <c r="C49">
        <v>28</v>
      </c>
      <c r="D49">
        <v>0</v>
      </c>
      <c r="E49">
        <v>19</v>
      </c>
    </row>
    <row r="50" spans="1:5">
      <c r="A50" s="1">
        <v>44610</v>
      </c>
      <c r="B50">
        <v>0</v>
      </c>
      <c r="C50">
        <v>65</v>
      </c>
      <c r="D50">
        <v>13</v>
      </c>
      <c r="E50">
        <v>39</v>
      </c>
    </row>
    <row r="51" spans="1:5">
      <c r="A51" s="1">
        <v>44610</v>
      </c>
      <c r="B51">
        <v>1</v>
      </c>
      <c r="C51">
        <v>0</v>
      </c>
      <c r="D51">
        <v>22</v>
      </c>
      <c r="E51">
        <v>1</v>
      </c>
    </row>
    <row r="52" spans="1:5">
      <c r="A52" s="1">
        <v>44610</v>
      </c>
      <c r="B52">
        <v>0</v>
      </c>
      <c r="C52">
        <v>13</v>
      </c>
      <c r="D52">
        <v>51</v>
      </c>
      <c r="E52">
        <v>24</v>
      </c>
    </row>
    <row r="53" spans="1:5">
      <c r="A53" s="1">
        <v>44610</v>
      </c>
      <c r="B53">
        <v>44</v>
      </c>
      <c r="C53">
        <v>0</v>
      </c>
      <c r="D53">
        <v>19</v>
      </c>
      <c r="E53">
        <v>1</v>
      </c>
    </row>
    <row r="54" spans="1:5">
      <c r="A54" s="1">
        <v>44610</v>
      </c>
      <c r="B54">
        <v>45</v>
      </c>
      <c r="C54">
        <v>0</v>
      </c>
      <c r="D54">
        <v>20</v>
      </c>
      <c r="E54">
        <v>31</v>
      </c>
    </row>
    <row r="55" spans="1:5">
      <c r="A55" s="1">
        <v>44610</v>
      </c>
      <c r="B55">
        <v>30</v>
      </c>
      <c r="C55">
        <v>50</v>
      </c>
      <c r="D55">
        <v>57</v>
      </c>
      <c r="E55">
        <v>0</v>
      </c>
    </row>
    <row r="56" spans="1:5">
      <c r="A56" s="1">
        <v>44610</v>
      </c>
      <c r="B56">
        <v>23</v>
      </c>
      <c r="C56">
        <v>0</v>
      </c>
      <c r="D56">
        <v>11</v>
      </c>
      <c r="E5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B4E4-FBBB-FE49-9C00-BF57AAE24AC7}">
  <dimension ref="A1:H19"/>
  <sheetViews>
    <sheetView zoomScaleNormal="100" zoomScaleSheetLayoutView="100" workbookViewId="0">
      <selection activeCell="C27" sqref="C27"/>
    </sheetView>
  </sheetViews>
  <sheetFormatPr defaultColWidth="8.85546875" defaultRowHeight="15"/>
  <cols>
    <col min="1" max="1" width="10.85546875" style="1" bestFit="1" customWidth="1"/>
    <col min="7" max="7" width="10.42578125" bestFit="1" customWidth="1"/>
  </cols>
  <sheetData>
    <row r="1" spans="1:8">
      <c r="A1" s="1" t="s">
        <v>0</v>
      </c>
      <c r="B1" t="s">
        <v>1</v>
      </c>
      <c r="C1" t="s">
        <v>2</v>
      </c>
      <c r="D1" t="s">
        <v>4</v>
      </c>
      <c r="E1" t="s">
        <v>5</v>
      </c>
      <c r="G1" t="s">
        <v>6</v>
      </c>
      <c r="H1" s="3">
        <f>SUM(B5:E104)/(COUNT(B5:E104)-COUNTIF(B5:E104,0))</f>
        <v>22.84090909090909</v>
      </c>
    </row>
    <row r="2" spans="1:8">
      <c r="B2">
        <f>SUM(B5:B1004)</f>
        <v>261</v>
      </c>
      <c r="C2">
        <f t="shared" ref="C2:E2" si="0">SUM(C5:C1004)</f>
        <v>276</v>
      </c>
      <c r="D2">
        <f t="shared" si="0"/>
        <v>244</v>
      </c>
      <c r="E2">
        <f t="shared" si="0"/>
        <v>224</v>
      </c>
    </row>
    <row r="3" spans="1:8">
      <c r="B3" t="str">
        <f>IF(MIN($B$2:$E$2)=B2,"Leader",_xlfn.CONCAT("+",B2-MIN($B$2:$E$2)))</f>
        <v>+37</v>
      </c>
      <c r="C3" t="str">
        <f>IF(MIN($B$2:$E$2)=C2,"Leader",_xlfn.CONCAT("+",C2-MIN($B$2:$E$2)))</f>
        <v>+52</v>
      </c>
      <c r="D3" t="str">
        <f>IF(MIN($B$2:$E$2)=D2,"Leader",_xlfn.CONCAT("+",D2-MIN($B$2:$E$2)))</f>
        <v>+20</v>
      </c>
      <c r="E3" t="str">
        <f>IF(MIN($B$2:$E$2)=E2,"Leader",_xlfn.CONCAT("+",E2-MIN($B$2:$E$2)))</f>
        <v>Leader</v>
      </c>
    </row>
    <row r="5" spans="1:8">
      <c r="A5" s="1">
        <v>44483</v>
      </c>
      <c r="B5">
        <v>49</v>
      </c>
      <c r="C5">
        <v>22</v>
      </c>
      <c r="D5">
        <v>31</v>
      </c>
      <c r="E5">
        <v>0</v>
      </c>
    </row>
    <row r="6" spans="1:8">
      <c r="A6" s="1">
        <v>44483</v>
      </c>
      <c r="B6">
        <v>20</v>
      </c>
      <c r="C6">
        <v>6</v>
      </c>
      <c r="D6">
        <v>7</v>
      </c>
      <c r="E6">
        <v>0</v>
      </c>
    </row>
    <row r="7" spans="1:8">
      <c r="A7" s="1">
        <v>44483</v>
      </c>
      <c r="B7">
        <v>25</v>
      </c>
      <c r="C7">
        <v>7</v>
      </c>
      <c r="D7">
        <v>2</v>
      </c>
      <c r="E7">
        <v>0</v>
      </c>
    </row>
    <row r="8" spans="1:8">
      <c r="A8" s="1">
        <v>44483</v>
      </c>
      <c r="B8">
        <v>4</v>
      </c>
      <c r="C8">
        <v>44</v>
      </c>
      <c r="D8">
        <v>0</v>
      </c>
      <c r="E8">
        <v>32</v>
      </c>
    </row>
    <row r="9" spans="1:8">
      <c r="A9" s="1">
        <v>44483</v>
      </c>
      <c r="B9">
        <v>5</v>
      </c>
      <c r="C9">
        <v>1</v>
      </c>
      <c r="D9">
        <v>0</v>
      </c>
      <c r="E9">
        <v>36</v>
      </c>
    </row>
    <row r="10" spans="1:8">
      <c r="A10" s="1">
        <v>44483</v>
      </c>
      <c r="B10">
        <v>28</v>
      </c>
      <c r="C10">
        <v>0</v>
      </c>
      <c r="D10">
        <v>0</v>
      </c>
      <c r="E10">
        <v>5</v>
      </c>
    </row>
    <row r="11" spans="1:8">
      <c r="A11" s="1">
        <v>44483</v>
      </c>
      <c r="B11">
        <v>0</v>
      </c>
      <c r="C11">
        <v>4</v>
      </c>
      <c r="D11">
        <v>23</v>
      </c>
      <c r="E11">
        <v>12</v>
      </c>
    </row>
    <row r="12" spans="1:8">
      <c r="A12" s="1">
        <v>44483</v>
      </c>
      <c r="B12">
        <v>2</v>
      </c>
      <c r="C12">
        <v>29</v>
      </c>
      <c r="D12">
        <v>34</v>
      </c>
      <c r="E12">
        <v>0</v>
      </c>
    </row>
    <row r="13" spans="1:8">
      <c r="A13" s="1">
        <v>44483</v>
      </c>
      <c r="B13">
        <v>0</v>
      </c>
      <c r="C13">
        <v>40</v>
      </c>
      <c r="D13">
        <v>2</v>
      </c>
      <c r="E13">
        <v>1</v>
      </c>
    </row>
    <row r="14" spans="1:8">
      <c r="A14" s="1">
        <v>44483</v>
      </c>
      <c r="B14">
        <v>16</v>
      </c>
      <c r="C14">
        <v>3</v>
      </c>
      <c r="D14">
        <v>29</v>
      </c>
      <c r="E14">
        <v>0</v>
      </c>
    </row>
    <row r="15" spans="1:8">
      <c r="A15" s="1">
        <v>44512</v>
      </c>
      <c r="B15">
        <v>0</v>
      </c>
      <c r="C15">
        <v>46</v>
      </c>
      <c r="D15">
        <v>9</v>
      </c>
      <c r="E15">
        <v>26</v>
      </c>
    </row>
    <row r="16" spans="1:8">
      <c r="A16" s="1">
        <v>44512</v>
      </c>
      <c r="B16">
        <v>12</v>
      </c>
      <c r="C16">
        <v>0</v>
      </c>
      <c r="D16">
        <v>32</v>
      </c>
      <c r="E16">
        <v>14</v>
      </c>
    </row>
    <row r="17" spans="1:5">
      <c r="A17" s="1">
        <v>44512</v>
      </c>
      <c r="B17">
        <v>46</v>
      </c>
      <c r="C17">
        <v>63</v>
      </c>
      <c r="D17">
        <v>0</v>
      </c>
      <c r="E17">
        <v>25</v>
      </c>
    </row>
    <row r="18" spans="1:5">
      <c r="A18" s="1">
        <v>44512</v>
      </c>
      <c r="B18">
        <v>21</v>
      </c>
      <c r="C18">
        <v>11</v>
      </c>
      <c r="D18">
        <v>0</v>
      </c>
      <c r="E18">
        <v>26</v>
      </c>
    </row>
    <row r="19" spans="1:5">
      <c r="A19" s="1">
        <v>44512</v>
      </c>
      <c r="B19">
        <v>33</v>
      </c>
      <c r="C19">
        <v>0</v>
      </c>
      <c r="D19">
        <v>75</v>
      </c>
      <c r="E19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BACC-A9D1-344D-A354-A5BB70F84E24}">
  <dimension ref="A1:H12"/>
  <sheetViews>
    <sheetView zoomScaleNormal="100" zoomScaleSheetLayoutView="100" workbookViewId="0">
      <selection activeCell="C9" sqref="C9"/>
    </sheetView>
  </sheetViews>
  <sheetFormatPr defaultColWidth="8.85546875" defaultRowHeight="15"/>
  <cols>
    <col min="1" max="1" width="10.85546875" style="1" bestFit="1" customWidth="1"/>
    <col min="7" max="7" width="10.4257812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5</v>
      </c>
      <c r="G1" t="s">
        <v>6</v>
      </c>
      <c r="H1" s="3">
        <f>SUM(B5:E104)/(COUNT(B5:E104)-COUNTIF(B5:E104,0))</f>
        <v>21.291666666666668</v>
      </c>
    </row>
    <row r="2" spans="1:8">
      <c r="B2">
        <f>SUM(B5:B1004)</f>
        <v>112</v>
      </c>
      <c r="C2">
        <f t="shared" ref="C2:E2" si="0">SUM(C5:C1004)</f>
        <v>178</v>
      </c>
      <c r="D2">
        <f t="shared" si="0"/>
        <v>104</v>
      </c>
      <c r="E2">
        <f t="shared" si="0"/>
        <v>117</v>
      </c>
    </row>
    <row r="3" spans="1:8">
      <c r="B3" t="str">
        <f>IF(MIN($B$2:$E$2)=B2,"Leader",_xlfn.CONCAT("+",B2-MIN($B$2:$E$2)))</f>
        <v>+8</v>
      </c>
      <c r="C3" t="str">
        <f>IF(MIN($B$2:$E$2)=C2,"Leader",_xlfn.CONCAT("+",C2-MIN($B$2:$E$2)))</f>
        <v>+74</v>
      </c>
      <c r="D3" t="str">
        <f>IF(MIN($B$2:$E$2)=D2,"Leader",_xlfn.CONCAT("+",D2-MIN($B$2:$E$2)))</f>
        <v>Leader</v>
      </c>
      <c r="E3" t="str">
        <f>IF(MIN($B$2:$E$2)=E2,"Leader",_xlfn.CONCAT("+",E2-MIN($B$2:$E$2)))</f>
        <v>+13</v>
      </c>
    </row>
    <row r="5" spans="1:8">
      <c r="A5" s="1">
        <v>44337</v>
      </c>
      <c r="B5">
        <v>0</v>
      </c>
      <c r="C5">
        <v>52</v>
      </c>
      <c r="D5">
        <v>7</v>
      </c>
      <c r="E5">
        <v>4</v>
      </c>
    </row>
    <row r="6" spans="1:8">
      <c r="A6" s="1">
        <v>44337</v>
      </c>
      <c r="B6">
        <v>14</v>
      </c>
      <c r="C6">
        <v>12</v>
      </c>
      <c r="D6">
        <v>0</v>
      </c>
      <c r="E6">
        <v>23</v>
      </c>
    </row>
    <row r="7" spans="1:8">
      <c r="A7" s="1">
        <v>44337</v>
      </c>
      <c r="B7">
        <v>10</v>
      </c>
      <c r="C7">
        <v>0</v>
      </c>
      <c r="D7">
        <v>1</v>
      </c>
      <c r="E7">
        <v>26</v>
      </c>
    </row>
    <row r="8" spans="1:8">
      <c r="A8" s="1">
        <v>44337</v>
      </c>
      <c r="B8">
        <v>15</v>
      </c>
      <c r="C8">
        <v>0</v>
      </c>
      <c r="D8">
        <v>26</v>
      </c>
      <c r="E8">
        <v>39</v>
      </c>
    </row>
    <row r="9" spans="1:8">
      <c r="A9" s="1">
        <v>44337</v>
      </c>
      <c r="B9">
        <v>47</v>
      </c>
      <c r="C9">
        <v>0</v>
      </c>
      <c r="D9">
        <v>34</v>
      </c>
      <c r="E9">
        <v>7</v>
      </c>
    </row>
    <row r="10" spans="1:8">
      <c r="A10" s="1">
        <v>44337</v>
      </c>
      <c r="B10">
        <v>0</v>
      </c>
      <c r="C10">
        <v>50</v>
      </c>
      <c r="D10">
        <v>19</v>
      </c>
      <c r="E10">
        <v>10</v>
      </c>
    </row>
    <row r="11" spans="1:8">
      <c r="A11" s="1">
        <v>44337</v>
      </c>
      <c r="B11">
        <v>26</v>
      </c>
      <c r="C11">
        <v>0</v>
      </c>
      <c r="D11">
        <v>3</v>
      </c>
      <c r="E11">
        <v>1</v>
      </c>
    </row>
    <row r="12" spans="1:8">
      <c r="A12" s="1">
        <v>44337</v>
      </c>
      <c r="B12">
        <v>0</v>
      </c>
      <c r="C12">
        <v>64</v>
      </c>
      <c r="D12">
        <v>14</v>
      </c>
      <c r="E1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D1DE-C6C8-1F47-8B38-9017C82E0EA9}">
  <dimension ref="A1:D29"/>
  <sheetViews>
    <sheetView zoomScaleNormal="100" zoomScaleSheetLayoutView="100" workbookViewId="0">
      <selection activeCell="B5" sqref="B5:D29"/>
    </sheetView>
  </sheetViews>
  <sheetFormatPr defaultRowHeight="15"/>
  <cols>
    <col min="1" max="1" width="10.710937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B2">
        <f>SUM(B5:B1004)</f>
        <v>339</v>
      </c>
      <c r="C2">
        <f t="shared" ref="C2:D2" si="0">SUM(C5:C1004)</f>
        <v>714</v>
      </c>
      <c r="D2">
        <f t="shared" si="0"/>
        <v>336</v>
      </c>
    </row>
    <row r="3" spans="1:4">
      <c r="B3" t="str">
        <f>IF(MIN($B$2:$D$2)=B2,"Leader",_xlfn.CONCAT("+",B2-MIN($B$2:$D$2)))</f>
        <v>+3</v>
      </c>
      <c r="C3" t="str">
        <f t="shared" ref="C3:D3" si="1">IF(MIN($B$2:$D$2)=C2,"Leader",_xlfn.CONCAT("+",C2-MIN($B$2:$D$2)))</f>
        <v>+378</v>
      </c>
      <c r="D3" t="str">
        <f t="shared" si="1"/>
        <v>Leader</v>
      </c>
    </row>
    <row r="5" spans="1:4">
      <c r="A5" s="1">
        <v>44330</v>
      </c>
      <c r="B5">
        <v>0</v>
      </c>
      <c r="C5">
        <v>30</v>
      </c>
      <c r="D5">
        <v>54</v>
      </c>
    </row>
    <row r="6" spans="1:4">
      <c r="A6" s="1">
        <v>44330</v>
      </c>
      <c r="B6">
        <v>0</v>
      </c>
      <c r="C6">
        <v>34</v>
      </c>
      <c r="D6">
        <v>0</v>
      </c>
    </row>
    <row r="7" spans="1:4">
      <c r="A7" s="1">
        <v>44330</v>
      </c>
      <c r="B7">
        <v>44</v>
      </c>
      <c r="C7">
        <v>48</v>
      </c>
      <c r="D7">
        <v>0</v>
      </c>
    </row>
    <row r="8" spans="1:4">
      <c r="A8" s="1">
        <v>44330</v>
      </c>
      <c r="B8">
        <v>0</v>
      </c>
      <c r="C8">
        <v>21</v>
      </c>
      <c r="D8">
        <v>1</v>
      </c>
    </row>
    <row r="9" spans="1:4">
      <c r="A9" s="1">
        <v>44330</v>
      </c>
      <c r="B9">
        <v>1</v>
      </c>
      <c r="C9">
        <v>21</v>
      </c>
      <c r="D9">
        <v>0</v>
      </c>
    </row>
    <row r="10" spans="1:4">
      <c r="A10" s="1">
        <v>44330</v>
      </c>
      <c r="B10">
        <v>1</v>
      </c>
      <c r="C10">
        <v>43</v>
      </c>
      <c r="D10">
        <v>0</v>
      </c>
    </row>
    <row r="11" spans="1:4">
      <c r="A11" s="1">
        <v>44330</v>
      </c>
      <c r="B11">
        <v>0</v>
      </c>
      <c r="C11">
        <v>25</v>
      </c>
      <c r="D11">
        <v>29</v>
      </c>
    </row>
    <row r="12" spans="1:4">
      <c r="A12" s="1">
        <v>44330</v>
      </c>
      <c r="B12">
        <v>0</v>
      </c>
      <c r="C12">
        <v>35</v>
      </c>
      <c r="D12">
        <v>15</v>
      </c>
    </row>
    <row r="13" spans="1:4">
      <c r="A13" s="1">
        <v>44330</v>
      </c>
      <c r="B13">
        <v>22</v>
      </c>
      <c r="C13">
        <v>19</v>
      </c>
      <c r="D13">
        <v>0</v>
      </c>
    </row>
    <row r="14" spans="1:4">
      <c r="A14" s="1">
        <v>44330</v>
      </c>
      <c r="B14">
        <v>7</v>
      </c>
      <c r="C14">
        <v>38</v>
      </c>
      <c r="D14">
        <v>0</v>
      </c>
    </row>
    <row r="15" spans="1:4">
      <c r="A15" s="1">
        <v>44330</v>
      </c>
      <c r="B15">
        <v>29</v>
      </c>
      <c r="C15">
        <v>29</v>
      </c>
      <c r="D15">
        <v>0</v>
      </c>
    </row>
    <row r="16" spans="1:4">
      <c r="A16" s="1">
        <v>44330</v>
      </c>
      <c r="B16">
        <v>20</v>
      </c>
      <c r="C16">
        <v>30</v>
      </c>
      <c r="D16">
        <v>0</v>
      </c>
    </row>
    <row r="17" spans="1:4">
      <c r="A17" s="1">
        <v>44330</v>
      </c>
      <c r="B17">
        <v>0</v>
      </c>
      <c r="C17">
        <v>54</v>
      </c>
      <c r="D17">
        <v>22</v>
      </c>
    </row>
    <row r="18" spans="1:4">
      <c r="A18" s="1">
        <v>44331</v>
      </c>
      <c r="B18">
        <v>34</v>
      </c>
      <c r="C18">
        <v>30</v>
      </c>
      <c r="D18">
        <v>0</v>
      </c>
    </row>
    <row r="19" spans="1:4">
      <c r="A19" s="1">
        <v>44331</v>
      </c>
      <c r="B19">
        <v>44</v>
      </c>
      <c r="C19">
        <v>0</v>
      </c>
      <c r="D19">
        <v>43</v>
      </c>
    </row>
    <row r="20" spans="1:4">
      <c r="A20" s="1">
        <v>44331</v>
      </c>
      <c r="B20">
        <v>58</v>
      </c>
      <c r="C20">
        <v>0</v>
      </c>
      <c r="D20">
        <v>12</v>
      </c>
    </row>
    <row r="21" spans="1:4">
      <c r="A21" s="1">
        <v>44331</v>
      </c>
      <c r="B21">
        <v>11</v>
      </c>
      <c r="C21">
        <v>22</v>
      </c>
      <c r="D21">
        <v>0</v>
      </c>
    </row>
    <row r="22" spans="1:4">
      <c r="A22" s="1">
        <v>44331</v>
      </c>
      <c r="B22">
        <v>0</v>
      </c>
      <c r="C22">
        <v>33</v>
      </c>
      <c r="D22">
        <v>15</v>
      </c>
    </row>
    <row r="23" spans="1:4">
      <c r="A23" s="1">
        <v>44331</v>
      </c>
      <c r="B23">
        <v>28</v>
      </c>
      <c r="C23">
        <v>0</v>
      </c>
      <c r="D23">
        <v>13</v>
      </c>
    </row>
    <row r="24" spans="1:4">
      <c r="A24" s="1">
        <v>44331</v>
      </c>
      <c r="B24">
        <v>0</v>
      </c>
      <c r="C24">
        <v>16</v>
      </c>
      <c r="D24">
        <v>51</v>
      </c>
    </row>
    <row r="25" spans="1:4">
      <c r="A25" s="1">
        <v>44331</v>
      </c>
      <c r="B25">
        <v>14</v>
      </c>
      <c r="C25">
        <v>50</v>
      </c>
      <c r="D25">
        <v>0</v>
      </c>
    </row>
    <row r="26" spans="1:4">
      <c r="A26" s="1">
        <v>44331</v>
      </c>
      <c r="B26">
        <v>0</v>
      </c>
      <c r="C26">
        <v>59</v>
      </c>
      <c r="D26">
        <v>76</v>
      </c>
    </row>
    <row r="27" spans="1:4">
      <c r="A27" s="1">
        <v>44331</v>
      </c>
      <c r="B27">
        <v>24</v>
      </c>
      <c r="C27">
        <v>25</v>
      </c>
      <c r="D27">
        <v>0</v>
      </c>
    </row>
    <row r="28" spans="1:4">
      <c r="A28" s="1">
        <v>44331</v>
      </c>
      <c r="B28">
        <v>0</v>
      </c>
      <c r="C28">
        <v>21</v>
      </c>
      <c r="D28">
        <v>5</v>
      </c>
    </row>
    <row r="29" spans="1:4">
      <c r="A29" s="1">
        <v>44331</v>
      </c>
      <c r="B29">
        <v>2</v>
      </c>
      <c r="C29">
        <v>31</v>
      </c>
      <c r="D2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6BAD-224C-DA49-A201-FB306083838D}">
  <dimension ref="A1:D10"/>
  <sheetViews>
    <sheetView zoomScaleNormal="100" zoomScaleSheetLayoutView="100" workbookViewId="0">
      <selection activeCell="C15" sqref="C15"/>
    </sheetView>
  </sheetViews>
  <sheetFormatPr defaultRowHeight="15"/>
  <cols>
    <col min="1" max="1" width="10.7109375" style="1" bestFit="1" customWidth="1"/>
  </cols>
  <sheetData>
    <row r="1" spans="1:4">
      <c r="A1" s="1" t="s">
        <v>0</v>
      </c>
      <c r="B1" t="s">
        <v>1</v>
      </c>
      <c r="C1" t="s">
        <v>2</v>
      </c>
      <c r="D1" t="s">
        <v>4</v>
      </c>
    </row>
    <row r="2" spans="1:4">
      <c r="B2">
        <f>SUM(B5:B1004)</f>
        <v>197</v>
      </c>
      <c r="C2">
        <f t="shared" ref="C2:D2" si="0">SUM(C5:C1004)</f>
        <v>92</v>
      </c>
      <c r="D2">
        <f t="shared" si="0"/>
        <v>118</v>
      </c>
    </row>
    <row r="3" spans="1:4">
      <c r="B3" t="str">
        <f>IF(MIN($B$2:$D$2)=B2,"Leader",_xlfn.CONCAT("+",B2-MIN($B$2:$D$2)))</f>
        <v>+105</v>
      </c>
      <c r="C3" t="str">
        <f t="shared" ref="C3:D3" si="1">IF(MIN($B$2:$D$2)=C2,"Leader",_xlfn.CONCAT("+",C2-MIN($B$2:$D$2)))</f>
        <v>Leader</v>
      </c>
      <c r="D3" t="str">
        <f t="shared" si="1"/>
        <v>+26</v>
      </c>
    </row>
    <row r="5" spans="1:4">
      <c r="A5" s="1">
        <v>44483</v>
      </c>
      <c r="B5">
        <v>21</v>
      </c>
      <c r="C5">
        <v>0</v>
      </c>
      <c r="D5">
        <v>22</v>
      </c>
    </row>
    <row r="6" spans="1:4">
      <c r="A6" s="1">
        <v>44483</v>
      </c>
      <c r="B6">
        <v>79</v>
      </c>
      <c r="C6">
        <v>49</v>
      </c>
      <c r="D6">
        <v>0</v>
      </c>
    </row>
    <row r="7" spans="1:4">
      <c r="A7" s="1">
        <v>44483</v>
      </c>
      <c r="B7">
        <v>95</v>
      </c>
      <c r="C7">
        <v>0</v>
      </c>
      <c r="D7">
        <v>60</v>
      </c>
    </row>
    <row r="8" spans="1:4">
      <c r="A8" s="1">
        <v>44483</v>
      </c>
      <c r="B8">
        <v>2</v>
      </c>
      <c r="C8">
        <v>0</v>
      </c>
      <c r="D8">
        <v>21</v>
      </c>
    </row>
    <row r="9" spans="1:4">
      <c r="A9" s="1">
        <v>44483</v>
      </c>
      <c r="B9">
        <v>0</v>
      </c>
      <c r="C9">
        <v>20</v>
      </c>
      <c r="D9">
        <v>4</v>
      </c>
    </row>
    <row r="10" spans="1:4">
      <c r="A10" s="1">
        <v>44483</v>
      </c>
      <c r="B10">
        <v>0</v>
      </c>
      <c r="C10">
        <v>23</v>
      </c>
      <c r="D10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5D809-4B70-514B-9A48-5C447F424B12}">
  <dimension ref="A1:D14"/>
  <sheetViews>
    <sheetView zoomScaleNormal="100" zoomScaleSheetLayoutView="100" workbookViewId="0">
      <selection activeCell="B5" sqref="B5:D14"/>
    </sheetView>
  </sheetViews>
  <sheetFormatPr defaultRowHeight="15"/>
  <cols>
    <col min="1" max="1" width="10.7109375" style="1" bestFit="1" customWidth="1"/>
  </cols>
  <sheetData>
    <row r="1" spans="1:4">
      <c r="A1" s="1" t="s">
        <v>0</v>
      </c>
      <c r="B1" t="s">
        <v>1</v>
      </c>
      <c r="C1" t="s">
        <v>3</v>
      </c>
      <c r="D1" t="s">
        <v>4</v>
      </c>
    </row>
    <row r="2" spans="1:4">
      <c r="B2">
        <f>SUM(B5:B1004)</f>
        <v>333</v>
      </c>
      <c r="C2">
        <f t="shared" ref="C2:D2" si="0">SUM(C5:C1004)</f>
        <v>124</v>
      </c>
      <c r="D2">
        <f t="shared" si="0"/>
        <v>174</v>
      </c>
    </row>
    <row r="3" spans="1:4">
      <c r="B3" t="str">
        <f>IF(MIN($B$2:$D$2)=B2,"Leader",_xlfn.CONCAT("+",B2-MIN($B$2:$D$2)))</f>
        <v>+209</v>
      </c>
      <c r="C3" t="str">
        <f t="shared" ref="C3:D3" si="1">IF(MIN($B$2:$D$2)=C2,"Leader",_xlfn.CONCAT("+",C2-MIN($B$2:$D$2)))</f>
        <v>Leader</v>
      </c>
      <c r="D3" t="str">
        <f t="shared" si="1"/>
        <v>+50</v>
      </c>
    </row>
    <row r="5" spans="1:4">
      <c r="A5" s="1">
        <v>44422</v>
      </c>
      <c r="B5">
        <v>0</v>
      </c>
      <c r="C5">
        <v>4</v>
      </c>
      <c r="D5">
        <v>30</v>
      </c>
    </row>
    <row r="6" spans="1:4">
      <c r="A6" s="1">
        <v>44422</v>
      </c>
      <c r="B6">
        <v>23</v>
      </c>
      <c r="C6">
        <v>0</v>
      </c>
      <c r="D6">
        <v>23</v>
      </c>
    </row>
    <row r="7" spans="1:4">
      <c r="A7" s="1">
        <v>44422</v>
      </c>
      <c r="B7">
        <v>32</v>
      </c>
      <c r="C7">
        <v>0</v>
      </c>
      <c r="D7">
        <v>1</v>
      </c>
    </row>
    <row r="8" spans="1:4">
      <c r="A8" s="1">
        <v>44422</v>
      </c>
      <c r="B8">
        <v>71</v>
      </c>
      <c r="C8">
        <v>28</v>
      </c>
      <c r="D8">
        <v>0</v>
      </c>
    </row>
    <row r="9" spans="1:4">
      <c r="A9" s="1">
        <v>44422</v>
      </c>
      <c r="B9">
        <v>1</v>
      </c>
      <c r="C9">
        <v>0</v>
      </c>
      <c r="D9">
        <v>22</v>
      </c>
    </row>
    <row r="10" spans="1:4">
      <c r="A10" s="1">
        <v>44422</v>
      </c>
      <c r="B10">
        <v>58</v>
      </c>
      <c r="C10">
        <v>0</v>
      </c>
      <c r="D10">
        <v>20</v>
      </c>
    </row>
    <row r="11" spans="1:4">
      <c r="A11" s="1">
        <v>44422</v>
      </c>
      <c r="B11">
        <v>53</v>
      </c>
      <c r="C11">
        <v>40</v>
      </c>
      <c r="D11">
        <v>0</v>
      </c>
    </row>
    <row r="12" spans="1:4">
      <c r="A12" s="1">
        <v>44422</v>
      </c>
      <c r="B12">
        <v>74</v>
      </c>
      <c r="C12">
        <v>0</v>
      </c>
      <c r="D12">
        <v>7</v>
      </c>
    </row>
    <row r="13" spans="1:4">
      <c r="A13" s="1">
        <v>44422</v>
      </c>
      <c r="B13">
        <v>0</v>
      </c>
      <c r="C13">
        <v>52</v>
      </c>
      <c r="D13">
        <v>54</v>
      </c>
    </row>
    <row r="14" spans="1:4">
      <c r="A14" s="1">
        <v>44422</v>
      </c>
      <c r="B14">
        <v>21</v>
      </c>
      <c r="C14">
        <v>0</v>
      </c>
      <c r="D14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105C-9CB0-7E42-8976-C778E5173EB2}">
  <dimension ref="A1:I14"/>
  <sheetViews>
    <sheetView zoomScaleNormal="100" zoomScaleSheetLayoutView="100" workbookViewId="0">
      <selection activeCell="H18" sqref="H18"/>
    </sheetView>
  </sheetViews>
  <sheetFormatPr defaultColWidth="8.85546875" defaultRowHeight="15"/>
  <cols>
    <col min="1" max="1" width="10.85546875" style="1" bestFit="1" customWidth="1"/>
    <col min="8" max="8" width="10.42578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H1" t="s">
        <v>6</v>
      </c>
      <c r="I1" s="3">
        <f>SUM(B5:F104)/(COUNT(B5:F104)-COUNTIF(B5:F104,0))</f>
        <v>24.425000000000001</v>
      </c>
    </row>
    <row r="2" spans="1:9">
      <c r="B2">
        <f>SUM(B5:B1004)</f>
        <v>190</v>
      </c>
      <c r="C2">
        <f t="shared" ref="C2:F2" si="0">SUM(C5:C1004)</f>
        <v>210</v>
      </c>
      <c r="D2">
        <f t="shared" si="0"/>
        <v>150</v>
      </c>
      <c r="E2">
        <f t="shared" si="0"/>
        <v>188</v>
      </c>
      <c r="F2">
        <f t="shared" si="0"/>
        <v>239</v>
      </c>
    </row>
    <row r="3" spans="1:9">
      <c r="B3" t="str">
        <f>IF(MIN($B$2:$F$2)=B2,"Leader",_xlfn.CONCAT("+",B2-MIN($B$2:$F$2)))</f>
        <v>+40</v>
      </c>
      <c r="C3" t="str">
        <f t="shared" ref="C3:F3" si="1">IF(MIN($B$2:$F$2)=C2,"Leader",_xlfn.CONCAT("+",C2-MIN($B$2:$F$2)))</f>
        <v>+60</v>
      </c>
      <c r="D3" t="str">
        <f t="shared" si="1"/>
        <v>Leader</v>
      </c>
      <c r="E3" t="str">
        <f t="shared" si="1"/>
        <v>+38</v>
      </c>
      <c r="F3" t="str">
        <f t="shared" si="1"/>
        <v>+89</v>
      </c>
    </row>
    <row r="5" spans="1:9">
      <c r="A5" s="1">
        <v>44460</v>
      </c>
      <c r="B5">
        <v>0</v>
      </c>
      <c r="C5">
        <v>25</v>
      </c>
      <c r="D5">
        <v>31</v>
      </c>
      <c r="E5">
        <v>38</v>
      </c>
      <c r="F5">
        <v>48</v>
      </c>
    </row>
    <row r="6" spans="1:9">
      <c r="A6" s="1">
        <v>44460</v>
      </c>
      <c r="B6">
        <v>58</v>
      </c>
      <c r="C6">
        <v>21</v>
      </c>
      <c r="D6">
        <v>25</v>
      </c>
      <c r="E6">
        <v>0</v>
      </c>
      <c r="F6">
        <v>4</v>
      </c>
    </row>
    <row r="7" spans="1:9">
      <c r="A7" s="1">
        <v>44460</v>
      </c>
      <c r="B7">
        <v>4</v>
      </c>
      <c r="C7">
        <v>28</v>
      </c>
      <c r="D7">
        <v>0</v>
      </c>
      <c r="E7">
        <v>29</v>
      </c>
      <c r="F7">
        <v>63</v>
      </c>
    </row>
    <row r="8" spans="1:9">
      <c r="A8" s="1">
        <v>44460</v>
      </c>
      <c r="B8">
        <v>11</v>
      </c>
      <c r="C8">
        <v>0</v>
      </c>
      <c r="D8">
        <v>5</v>
      </c>
      <c r="E8">
        <v>59</v>
      </c>
      <c r="F8">
        <v>7</v>
      </c>
    </row>
    <row r="9" spans="1:9">
      <c r="A9" s="1">
        <v>44460</v>
      </c>
      <c r="B9">
        <v>7</v>
      </c>
      <c r="C9">
        <v>29</v>
      </c>
      <c r="D9">
        <v>6</v>
      </c>
      <c r="E9">
        <v>0</v>
      </c>
      <c r="F9">
        <v>26</v>
      </c>
    </row>
    <row r="10" spans="1:9">
      <c r="A10" s="1">
        <v>44460</v>
      </c>
      <c r="B10">
        <v>19</v>
      </c>
      <c r="C10">
        <v>18</v>
      </c>
      <c r="D10">
        <v>27</v>
      </c>
      <c r="E10">
        <v>0</v>
      </c>
      <c r="F10">
        <v>14</v>
      </c>
    </row>
    <row r="11" spans="1:9">
      <c r="A11" s="1">
        <v>44460</v>
      </c>
      <c r="B11">
        <v>9</v>
      </c>
      <c r="C11">
        <v>65</v>
      </c>
      <c r="D11">
        <v>0</v>
      </c>
      <c r="E11">
        <v>28</v>
      </c>
      <c r="F11">
        <v>17</v>
      </c>
    </row>
    <row r="12" spans="1:9">
      <c r="A12" s="1">
        <v>44460</v>
      </c>
      <c r="B12">
        <v>33</v>
      </c>
      <c r="C12">
        <v>1</v>
      </c>
      <c r="D12">
        <v>0</v>
      </c>
      <c r="E12">
        <v>3</v>
      </c>
      <c r="F12">
        <v>33</v>
      </c>
    </row>
    <row r="13" spans="1:9">
      <c r="A13" s="1">
        <v>44460</v>
      </c>
      <c r="B13">
        <v>0</v>
      </c>
      <c r="C13">
        <v>6</v>
      </c>
      <c r="D13">
        <v>53</v>
      </c>
      <c r="E13">
        <v>31</v>
      </c>
      <c r="F13">
        <v>23</v>
      </c>
    </row>
    <row r="14" spans="1:9">
      <c r="A14" s="1">
        <v>44460</v>
      </c>
      <c r="B14">
        <v>49</v>
      </c>
      <c r="C14">
        <v>17</v>
      </c>
      <c r="D14">
        <v>3</v>
      </c>
      <c r="E14">
        <v>0</v>
      </c>
      <c r="F14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8C61-A9FE-3F43-A490-751DBBF01FCD}">
  <dimension ref="A1:F104"/>
  <sheetViews>
    <sheetView zoomScaleNormal="100" zoomScaleSheetLayoutView="100" workbookViewId="0">
      <selection activeCell="B8" sqref="B8"/>
    </sheetView>
  </sheetViews>
  <sheetFormatPr defaultColWidth="8.85546875" defaultRowHeight="15"/>
  <cols>
    <col min="1" max="1" width="10.28515625" style="1" bestFit="1" customWidth="1"/>
    <col min="2" max="2" width="10.285156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cm="1">
        <f t="array" ref="A2">IFERROR(IF(INDEX('All 5'!$A$7:$A$1006,MATCH(0,COUNTIF($A$1:A1,'All 5'!$A$7:$A$1006),0))=0,"",INDEX('All 5'!$A$7:$A$1006,MATCH(0,COUNTIF($A$1:A1,'All 5'!$A$7:$A$1006),0))),"")</f>
        <v>44321</v>
      </c>
      <c r="B2" s="2">
        <f>IF($A2="","",SUMIF('All 5'!$A$7:$A$1006,$A2,'All 5'!B$7:B$1006))</f>
        <v>260</v>
      </c>
      <c r="C2" s="2">
        <f>IF($A2="","",SUMIF('All 5'!$A$7:$A$1006,$A2,'All 5'!C$7:C$1006))</f>
        <v>202</v>
      </c>
      <c r="D2" s="2">
        <f>IF($A2="","",SUMIF('All 5'!$A$7:$A$1006,$A2,'All 5'!D$7:D$1006))</f>
        <v>139</v>
      </c>
      <c r="E2" s="2">
        <f>IF($A2="","",SUMIF('All 5'!$A$7:$A$1006,$A2,'All 5'!E$7:E$1006))</f>
        <v>172</v>
      </c>
      <c r="F2" s="2">
        <f>IF($A2="","",SUMIF('All 5'!$A$7:$A$1006,$A2,'All 5'!F$7:F$1006))</f>
        <v>254</v>
      </c>
    </row>
    <row r="3" spans="1:6">
      <c r="A3" s="1" cm="1">
        <f t="array" ref="A3">IFERROR(IF(INDEX('All 5'!$A$7:$A$1006,MATCH(0,COUNTIF($A$1:A2,'All 5'!$A$7:$A$1006),0))=0,"",INDEX('All 5'!$A$7:$A$1006,MATCH(0,COUNTIF($A$1:A2,'All 5'!$A$7:$A$1006),0))),"")</f>
        <v>44326</v>
      </c>
      <c r="B3" s="2">
        <f>IF($A3="","",SUMIF('All 5'!$A$7:$A$1006,$A3,'All 5'!B$7:B$1006))</f>
        <v>69</v>
      </c>
      <c r="C3" s="2">
        <f>IF($A3="","",SUMIF('All 5'!$A$7:$A$1006,$A3,'All 5'!C$7:C$1006))</f>
        <v>79</v>
      </c>
      <c r="D3" s="2">
        <f>IF($A3="","",SUMIF('All 5'!$A$7:$A$1006,$A3,'All 5'!D$7:D$1006))</f>
        <v>42</v>
      </c>
      <c r="E3" s="2">
        <f>IF($A3="","",SUMIF('All 5'!$A$7:$A$1006,$A3,'All 5'!E$7:E$1006))</f>
        <v>48</v>
      </c>
      <c r="F3" s="2">
        <f>IF($A3="","",SUMIF('All 5'!$A$7:$A$1006,$A3,'All 5'!F$7:F$1006))</f>
        <v>124</v>
      </c>
    </row>
    <row r="4" spans="1:6">
      <c r="A4" s="1" cm="1">
        <f t="array" ref="A4">IFERROR(IF(INDEX('All 5'!$A$7:$A$1006,MATCH(0,COUNTIF($A$1:A3,'All 5'!$A$7:$A$1006),0))=0,"",INDEX('All 5'!$A$7:$A$1006,MATCH(0,COUNTIF($A$1:A3,'All 5'!$A$7:$A$1006),0))),"")</f>
        <v>44335</v>
      </c>
      <c r="B4" s="2">
        <f>IF($A4="","",SUMIF('All 5'!$A$7:$A$1006,$A4,'All 5'!B$7:B$1006))</f>
        <v>22</v>
      </c>
      <c r="C4" s="2">
        <f>IF($A4="","",SUMIF('All 5'!$A$7:$A$1006,$A4,'All 5'!C$7:C$1006))</f>
        <v>77</v>
      </c>
      <c r="D4" s="2">
        <f>IF($A4="","",SUMIF('All 5'!$A$7:$A$1006,$A4,'All 5'!D$7:D$1006))</f>
        <v>120</v>
      </c>
      <c r="E4" s="2">
        <f>IF($A4="","",SUMIF('All 5'!$A$7:$A$1006,$A4,'All 5'!E$7:E$1006))</f>
        <v>168</v>
      </c>
      <c r="F4" s="2">
        <f>IF($A4="","",SUMIF('All 5'!$A$7:$A$1006,$A4,'All 5'!F$7:F$1006))</f>
        <v>195</v>
      </c>
    </row>
    <row r="5" spans="1:6">
      <c r="A5" s="1" cm="1">
        <f t="array" ref="A5">IFERROR(IF(INDEX('All 5'!$A$7:$A$1006,MATCH(0,COUNTIF($A$1:A4,'All 5'!$A$7:$A$1006),0))=0,"",INDEX('All 5'!$A$7:$A$1006,MATCH(0,COUNTIF($A$1:A4,'All 5'!$A$7:$A$1006),0))),"")</f>
        <v>44435</v>
      </c>
      <c r="B5" s="2">
        <f>IF($A5="","",SUMIF('All 5'!$A$7:$A$1006,$A5,'All 5'!B$7:B$1006))</f>
        <v>116</v>
      </c>
      <c r="C5" s="2">
        <f>IF($A5="","",SUMIF('All 5'!$A$7:$A$1006,$A5,'All 5'!C$7:C$1006))</f>
        <v>52</v>
      </c>
      <c r="D5" s="2">
        <f>IF($A5="","",SUMIF('All 5'!$A$7:$A$1006,$A5,'All 5'!D$7:D$1006))</f>
        <v>26</v>
      </c>
      <c r="E5" s="2">
        <f>IF($A5="","",SUMIF('All 5'!$A$7:$A$1006,$A5,'All 5'!E$7:E$1006))</f>
        <v>69</v>
      </c>
      <c r="F5" s="2">
        <f>IF($A5="","",SUMIF('All 5'!$A$7:$A$1006,$A5,'All 5'!F$7:F$1006))</f>
        <v>69</v>
      </c>
    </row>
    <row r="6" spans="1:6">
      <c r="A6" s="1" cm="1">
        <f t="array" ref="A6">IFERROR(IF(INDEX('All 5'!$A$7:$A$1006,MATCH(0,COUNTIF($A$1:A5,'All 5'!$A$7:$A$1006),0))=0,"",INDEX('All 5'!$A$7:$A$1006,MATCH(0,COUNTIF($A$1:A5,'All 5'!$A$7:$A$1006),0))),"")</f>
        <v>44448</v>
      </c>
      <c r="B6" s="2">
        <f>IF($A6="","",SUMIF('All 5'!$A$7:$A$1006,$A6,'All 5'!B$7:B$1006))</f>
        <v>126</v>
      </c>
      <c r="C6" s="2">
        <f>IF($A6="","",SUMIF('All 5'!$A$7:$A$1006,$A6,'All 5'!C$7:C$1006))</f>
        <v>54</v>
      </c>
      <c r="D6" s="2">
        <f>IF($A6="","",SUMIF('All 5'!$A$7:$A$1006,$A6,'All 5'!D$7:D$1006))</f>
        <v>102</v>
      </c>
      <c r="E6" s="2">
        <f>IF($A6="","",SUMIF('All 5'!$A$7:$A$1006,$A6,'All 5'!E$7:E$1006))</f>
        <v>132</v>
      </c>
      <c r="F6" s="2">
        <f>IF($A6="","",SUMIF('All 5'!$A$7:$A$1006,$A6,'All 5'!F$7:F$1006))</f>
        <v>117</v>
      </c>
    </row>
    <row r="7" spans="1:6">
      <c r="A7" s="1" cm="1">
        <f t="array" ref="A7">IFERROR(IF(INDEX('All 5'!$A$7:$A$1006,MATCH(0,COUNTIF($A$1:A6,'All 5'!$A$7:$A$1006),0))=0,"",INDEX('All 5'!$A$7:$A$1006,MATCH(0,COUNTIF($A$1:A6,'All 5'!$A$7:$A$1006),0))),"")</f>
        <v>44463</v>
      </c>
      <c r="B7" s="2">
        <f>IF($A7="","",SUMIF('All 5'!$A$7:$A$1006,$A7,'All 5'!B$7:B$1006))</f>
        <v>293</v>
      </c>
      <c r="C7" s="2">
        <f>IF($A7="","",SUMIF('All 5'!$A$7:$A$1006,$A7,'All 5'!C$7:C$1006))</f>
        <v>181</v>
      </c>
      <c r="D7" s="2">
        <f>IF($A7="","",SUMIF('All 5'!$A$7:$A$1006,$A7,'All 5'!D$7:D$1006))</f>
        <v>262</v>
      </c>
      <c r="E7" s="2">
        <f>IF($A7="","",SUMIF('All 5'!$A$7:$A$1006,$A7,'All 5'!E$7:E$1006))</f>
        <v>180</v>
      </c>
      <c r="F7" s="2">
        <f>IF($A7="","",SUMIF('All 5'!$A$7:$A$1006,$A7,'All 5'!F$7:F$1006))</f>
        <v>246</v>
      </c>
    </row>
    <row r="8" spans="1:6">
      <c r="A8" s="1" cm="1">
        <f t="array" ref="A8">IFERROR(IF(INDEX('All 5'!$A$7:$A$1006,MATCH(0,COUNTIF($A$1:A7,'All 5'!$A$7:$A$1006),0))=0,"",INDEX('All 5'!$A$7:$A$1006,MATCH(0,COUNTIF($A$1:A7,'All 5'!$A$7:$A$1006),0))),"")</f>
        <v>44569</v>
      </c>
      <c r="B8" s="2">
        <f>IF($A8="","",SUMIF('All 5'!$A$7:$A$1006,$A8,'All 5'!B$7:B$1006))</f>
        <v>73</v>
      </c>
      <c r="C8" s="2">
        <f>IF($A8="","",SUMIF('All 5'!$A$7:$A$1006,$A8,'All 5'!C$7:C$1006))</f>
        <v>90</v>
      </c>
      <c r="D8" s="2">
        <f>IF($A8="","",SUMIF('All 5'!$A$7:$A$1006,$A8,'All 5'!D$7:D$1006))</f>
        <v>96</v>
      </c>
      <c r="E8" s="2">
        <f>IF($A8="","",SUMIF('All 5'!$A$7:$A$1006,$A8,'All 5'!E$7:E$1006))</f>
        <v>67</v>
      </c>
      <c r="F8" s="2">
        <f>IF($A8="","",SUMIF('All 5'!$A$7:$A$1006,$A8,'All 5'!F$7:F$1006))</f>
        <v>47</v>
      </c>
    </row>
    <row r="9" spans="1:6">
      <c r="A9" s="1" t="str" cm="1">
        <f t="array" ref="A9">IFERROR(IF(INDEX('All 5'!$A$7:$A$1006,MATCH(0,COUNTIF($A$1:A8,'All 5'!$A$7:$A$1006),0))=0,"",INDEX('All 5'!$A$7:$A$1006,MATCH(0,COUNTIF($A$1:A8,'All 5'!$A$7:$A$1006),0))),"")</f>
        <v/>
      </c>
      <c r="B9" s="2" t="str">
        <f>IF($A9="","",SUMIF('All 5'!$A$7:$A$1006,$A9,'All 5'!B$7:B$1006))</f>
        <v/>
      </c>
      <c r="C9" s="2" t="str">
        <f>IF($A9="","",SUMIF('All 5'!$A$7:$A$1006,$A9,'All 5'!C$7:C$1006))</f>
        <v/>
      </c>
      <c r="D9" s="2" t="str">
        <f>IF($A9="","",SUMIF('All 5'!$A$7:$A$1006,$A9,'All 5'!D$7:D$1006))</f>
        <v/>
      </c>
      <c r="E9" s="2" t="str">
        <f>IF($A9="","",SUMIF('All 5'!$A$7:$A$1006,$A9,'All 5'!E$7:E$1006))</f>
        <v/>
      </c>
      <c r="F9" s="2" t="str">
        <f>IF($A9="","",SUMIF('All 5'!$A$7:$A$1006,$A9,'All 5'!F$7:F$1006))</f>
        <v/>
      </c>
    </row>
    <row r="10" spans="1:6">
      <c r="A10" s="1" t="str" cm="1">
        <f t="array" ref="A10">IFERROR(IF(INDEX('All 5'!$A$7:$A$1006,MATCH(0,COUNTIF($A$1:A9,'All 5'!$A$7:$A$1006),0))=0,"",INDEX('All 5'!$A$7:$A$1006,MATCH(0,COUNTIF($A$1:A9,'All 5'!$A$7:$A$1006),0))),"")</f>
        <v/>
      </c>
      <c r="B10" s="2" t="str">
        <f>IF($A10="","",SUMIF('All 5'!$A$7:$A$1006,$A10,'All 5'!B$7:B$1006))</f>
        <v/>
      </c>
      <c r="C10" s="2" t="str">
        <f>IF($A10="","",SUMIF('All 5'!$A$7:$A$1006,$A10,'All 5'!C$7:C$1006))</f>
        <v/>
      </c>
      <c r="D10" s="2" t="str">
        <f>IF($A10="","",SUMIF('All 5'!$A$7:$A$1006,$A10,'All 5'!D$7:D$1006))</f>
        <v/>
      </c>
      <c r="E10" s="2" t="str">
        <f>IF($A10="","",SUMIF('All 5'!$A$7:$A$1006,$A10,'All 5'!E$7:E$1006))</f>
        <v/>
      </c>
      <c r="F10" s="2" t="str">
        <f>IF($A10="","",SUMIF('All 5'!$A$7:$A$1006,$A10,'All 5'!F$7:F$1006))</f>
        <v/>
      </c>
    </row>
    <row r="11" spans="1:6">
      <c r="A11" s="1" t="str" cm="1">
        <f t="array" ref="A11">IFERROR(IF(INDEX('All 5'!$A$7:$A$1006,MATCH(0,COUNTIF($A$1:A10,'All 5'!$A$7:$A$1006),0))=0,"",INDEX('All 5'!$A$7:$A$1006,MATCH(0,COUNTIF($A$1:A10,'All 5'!$A$7:$A$1006),0))),"")</f>
        <v/>
      </c>
      <c r="B11" s="2" t="str">
        <f>IF($A11="","",SUMIF('All 5'!$A$7:$A$1006,$A11,'All 5'!B$7:B$1006))</f>
        <v/>
      </c>
      <c r="C11" s="2" t="str">
        <f>IF($A11="","",SUMIF('All 5'!$A$7:$A$1006,$A11,'All 5'!C$7:C$1006))</f>
        <v/>
      </c>
      <c r="D11" s="2" t="str">
        <f>IF($A11="","",SUMIF('All 5'!$A$7:$A$1006,$A11,'All 5'!D$7:D$1006))</f>
        <v/>
      </c>
      <c r="E11" s="2" t="str">
        <f>IF($A11="","",SUMIF('All 5'!$A$7:$A$1006,$A11,'All 5'!E$7:E$1006))</f>
        <v/>
      </c>
      <c r="F11" s="2" t="str">
        <f>IF($A11="","",SUMIF('All 5'!$A$7:$A$1006,$A11,'All 5'!F$7:F$1006))</f>
        <v/>
      </c>
    </row>
    <row r="12" spans="1:6">
      <c r="A12" s="1" t="str" cm="1">
        <f t="array" ref="A12">IFERROR(IF(INDEX('All 5'!$A$7:$A$1006,MATCH(0,COUNTIF($A$1:A11,'All 5'!$A$7:$A$1006),0))=0,"",INDEX('All 5'!$A$7:$A$1006,MATCH(0,COUNTIF($A$1:A11,'All 5'!$A$7:$A$1006),0))),"")</f>
        <v/>
      </c>
      <c r="B12" s="2" t="str">
        <f>IF($A12="","",SUMIF('All 5'!$A$7:$A$1006,$A12,'All 5'!B$7:B$1006))</f>
        <v/>
      </c>
      <c r="C12" s="2" t="str">
        <f>IF($A12="","",SUMIF('All 5'!$A$7:$A$1006,$A12,'All 5'!C$7:C$1006))</f>
        <v/>
      </c>
      <c r="D12" s="2" t="str">
        <f>IF($A12="","",SUMIF('All 5'!$A$7:$A$1006,$A12,'All 5'!D$7:D$1006))</f>
        <v/>
      </c>
      <c r="E12" s="2" t="str">
        <f>IF($A12="","",SUMIF('All 5'!$A$7:$A$1006,$A12,'All 5'!E$7:E$1006))</f>
        <v/>
      </c>
      <c r="F12" s="2" t="str">
        <f>IF($A12="","",SUMIF('All 5'!$A$7:$A$1006,$A12,'All 5'!F$7:F$1006))</f>
        <v/>
      </c>
    </row>
    <row r="13" spans="1:6">
      <c r="A13" s="1" t="str" cm="1">
        <f t="array" ref="A13">IFERROR(IF(INDEX('All 5'!$A$7:$A$1006,MATCH(0,COUNTIF($A$1:A12,'All 5'!$A$7:$A$1006),0))=0,"",INDEX('All 5'!$A$7:$A$1006,MATCH(0,COUNTIF($A$1:A12,'All 5'!$A$7:$A$1006),0))),"")</f>
        <v/>
      </c>
      <c r="B13" s="2" t="str">
        <f>IF($A13="","",SUMIF('All 5'!$A$7:$A$1006,$A13,'All 5'!B$7:B$1006))</f>
        <v/>
      </c>
      <c r="C13" s="2" t="str">
        <f>IF($A13="","",SUMIF('All 5'!$A$7:$A$1006,$A13,'All 5'!C$7:C$1006))</f>
        <v/>
      </c>
      <c r="D13" s="2" t="str">
        <f>IF($A13="","",SUMIF('All 5'!$A$7:$A$1006,$A13,'All 5'!D$7:D$1006))</f>
        <v/>
      </c>
      <c r="E13" s="2" t="str">
        <f>IF($A13="","",SUMIF('All 5'!$A$7:$A$1006,$A13,'All 5'!E$7:E$1006))</f>
        <v/>
      </c>
      <c r="F13" s="2" t="str">
        <f>IF($A13="","",SUMIF('All 5'!$A$7:$A$1006,$A13,'All 5'!F$7:F$1006))</f>
        <v/>
      </c>
    </row>
    <row r="14" spans="1:6">
      <c r="A14" s="1" t="str" cm="1">
        <f t="array" ref="A14">IFERROR(IF(INDEX('All 5'!$A$7:$A$1006,MATCH(0,COUNTIF($A$1:A13,'All 5'!$A$7:$A$1006),0))=0,"",INDEX('All 5'!$A$7:$A$1006,MATCH(0,COUNTIF($A$1:A13,'All 5'!$A$7:$A$1006),0))),"")</f>
        <v/>
      </c>
      <c r="B14" s="2" t="str">
        <f>IF($A14="","",SUMIF('All 5'!$A$7:$A$1006,$A14,'All 5'!B$7:B$1006))</f>
        <v/>
      </c>
      <c r="C14" s="2" t="str">
        <f>IF($A14="","",SUMIF('All 5'!$A$7:$A$1006,$A14,'All 5'!C$7:C$1006))</f>
        <v/>
      </c>
      <c r="D14" s="2" t="str">
        <f>IF($A14="","",SUMIF('All 5'!$A$7:$A$1006,$A14,'All 5'!D$7:D$1006))</f>
        <v/>
      </c>
      <c r="E14" s="2" t="str">
        <f>IF($A14="","",SUMIF('All 5'!$A$7:$A$1006,$A14,'All 5'!E$7:E$1006))</f>
        <v/>
      </c>
      <c r="F14" s="2" t="str">
        <f>IF($A14="","",SUMIF('All 5'!$A$7:$A$1006,$A14,'All 5'!F$7:F$1006))</f>
        <v/>
      </c>
    </row>
    <row r="15" spans="1:6">
      <c r="A15" s="1" t="str" cm="1">
        <f t="array" ref="A15">IFERROR(IF(INDEX('All 5'!$A$7:$A$1006,MATCH(0,COUNTIF($A$1:A14,'All 5'!$A$7:$A$1006),0))=0,"",INDEX('All 5'!$A$7:$A$1006,MATCH(0,COUNTIF($A$1:A14,'All 5'!$A$7:$A$1006),0))),"")</f>
        <v/>
      </c>
      <c r="B15" s="2" t="str">
        <f>IF($A15="","",SUMIF('All 5'!$A$7:$A$1006,$A15,'All 5'!B$7:B$1006))</f>
        <v/>
      </c>
      <c r="C15" s="2" t="str">
        <f>IF($A15="","",SUMIF('All 5'!$A$7:$A$1006,$A15,'All 5'!C$7:C$1006))</f>
        <v/>
      </c>
      <c r="D15" s="2" t="str">
        <f>IF($A15="","",SUMIF('All 5'!$A$7:$A$1006,$A15,'All 5'!D$7:D$1006))</f>
        <v/>
      </c>
      <c r="E15" s="2" t="str">
        <f>IF($A15="","",SUMIF('All 5'!$A$7:$A$1006,$A15,'All 5'!E$7:E$1006))</f>
        <v/>
      </c>
      <c r="F15" s="2" t="str">
        <f>IF($A15="","",SUMIF('All 5'!$A$7:$A$1006,$A15,'All 5'!F$7:F$1006))</f>
        <v/>
      </c>
    </row>
    <row r="16" spans="1:6">
      <c r="A16" s="1" t="str" cm="1">
        <f t="array" ref="A16">IFERROR(IF(INDEX('All 5'!$A$7:$A$1006,MATCH(0,COUNTIF($A$1:A15,'All 5'!$A$7:$A$1006),0))=0,"",INDEX('All 5'!$A$7:$A$1006,MATCH(0,COUNTIF($A$1:A15,'All 5'!$A$7:$A$1006),0))),"")</f>
        <v/>
      </c>
      <c r="B16" s="2" t="str">
        <f>IF($A16="","",SUMIF('All 5'!$A$7:$A$1006,$A16,'All 5'!B$7:B$1006))</f>
        <v/>
      </c>
      <c r="C16" s="2" t="str">
        <f>IF($A16="","",SUMIF('All 5'!$A$7:$A$1006,$A16,'All 5'!C$7:C$1006))</f>
        <v/>
      </c>
      <c r="D16" s="2" t="str">
        <f>IF($A16="","",SUMIF('All 5'!$A$7:$A$1006,$A16,'All 5'!D$7:D$1006))</f>
        <v/>
      </c>
      <c r="E16" s="2" t="str">
        <f>IF($A16="","",SUMIF('All 5'!$A$7:$A$1006,$A16,'All 5'!E$7:E$1006))</f>
        <v/>
      </c>
      <c r="F16" s="2" t="str">
        <f>IF($A16="","",SUMIF('All 5'!$A$7:$A$1006,$A16,'All 5'!F$7:F$1006))</f>
        <v/>
      </c>
    </row>
    <row r="17" spans="1:6">
      <c r="A17" s="1" t="str" cm="1">
        <f t="array" ref="A17">IFERROR(IF(INDEX('All 5'!$A$7:$A$1006,MATCH(0,COUNTIF($A$1:A16,'All 5'!$A$7:$A$1006),0))=0,"",INDEX('All 5'!$A$7:$A$1006,MATCH(0,COUNTIF($A$1:A16,'All 5'!$A$7:$A$1006),0))),"")</f>
        <v/>
      </c>
      <c r="B17" s="2" t="str">
        <f>IF($A17="","",SUMIF('All 5'!$A$7:$A$1006,$A17,'All 5'!B$7:B$1006))</f>
        <v/>
      </c>
      <c r="C17" s="2" t="str">
        <f>IF($A17="","",SUMIF('All 5'!$A$7:$A$1006,$A17,'All 5'!C$7:C$1006))</f>
        <v/>
      </c>
      <c r="D17" s="2" t="str">
        <f>IF($A17="","",SUMIF('All 5'!$A$7:$A$1006,$A17,'All 5'!D$7:D$1006))</f>
        <v/>
      </c>
      <c r="E17" s="2" t="str">
        <f>IF($A17="","",SUMIF('All 5'!$A$7:$A$1006,$A17,'All 5'!E$7:E$1006))</f>
        <v/>
      </c>
      <c r="F17" s="2" t="str">
        <f>IF($A17="","",SUMIF('All 5'!$A$7:$A$1006,$A17,'All 5'!F$7:F$1006))</f>
        <v/>
      </c>
    </row>
    <row r="18" spans="1:6">
      <c r="A18" s="1" t="str" cm="1">
        <f t="array" ref="A18">IFERROR(IF(INDEX('All 5'!$A$7:$A$1006,MATCH(0,COUNTIF($A$1:A17,'All 5'!$A$7:$A$1006),0))=0,"",INDEX('All 5'!$A$7:$A$1006,MATCH(0,COUNTIF($A$1:A17,'All 5'!$A$7:$A$1006),0))),"")</f>
        <v/>
      </c>
      <c r="B18" s="2" t="str">
        <f>IF($A18="","",SUMIF('All 5'!$A$7:$A$1006,$A18,'All 5'!B$7:B$1006))</f>
        <v/>
      </c>
      <c r="C18" s="2" t="str">
        <f>IF($A18="","",SUMIF('All 5'!$A$7:$A$1006,$A18,'All 5'!C$7:C$1006))</f>
        <v/>
      </c>
      <c r="D18" s="2" t="str">
        <f>IF($A18="","",SUMIF('All 5'!$A$7:$A$1006,$A18,'All 5'!D$7:D$1006))</f>
        <v/>
      </c>
      <c r="E18" s="2" t="str">
        <f>IF($A18="","",SUMIF('All 5'!$A$7:$A$1006,$A18,'All 5'!E$7:E$1006))</f>
        <v/>
      </c>
      <c r="F18" s="2" t="str">
        <f>IF($A18="","",SUMIF('All 5'!$A$7:$A$1006,$A18,'All 5'!F$7:F$1006))</f>
        <v/>
      </c>
    </row>
    <row r="19" spans="1:6">
      <c r="A19" s="1" t="str" cm="1">
        <f t="array" ref="A19">IFERROR(IF(INDEX('All 5'!$A$7:$A$1006,MATCH(0,COUNTIF($A$1:A18,'All 5'!$A$7:$A$1006),0))=0,"",INDEX('All 5'!$A$7:$A$1006,MATCH(0,COUNTIF($A$1:A18,'All 5'!$A$7:$A$1006),0))),"")</f>
        <v/>
      </c>
      <c r="B19" s="2" t="str">
        <f>IF($A19="","",SUMIF('All 5'!$A$7:$A$1006,$A19,'All 5'!B$7:B$1006))</f>
        <v/>
      </c>
      <c r="C19" s="2" t="str">
        <f>IF($A19="","",SUMIF('All 5'!$A$7:$A$1006,$A19,'All 5'!C$7:C$1006))</f>
        <v/>
      </c>
      <c r="D19" s="2" t="str">
        <f>IF($A19="","",SUMIF('All 5'!$A$7:$A$1006,$A19,'All 5'!D$7:D$1006))</f>
        <v/>
      </c>
      <c r="E19" s="2" t="str">
        <f>IF($A19="","",SUMIF('All 5'!$A$7:$A$1006,$A19,'All 5'!E$7:E$1006))</f>
        <v/>
      </c>
      <c r="F19" s="2" t="str">
        <f>IF($A19="","",SUMIF('All 5'!$A$7:$A$1006,$A19,'All 5'!F$7:F$1006))</f>
        <v/>
      </c>
    </row>
    <row r="20" spans="1:6">
      <c r="A20" s="1" t="str" cm="1">
        <f t="array" ref="A20">IFERROR(IF(INDEX('All 5'!$A$7:$A$1006,MATCH(0,COUNTIF($A$1:A19,'All 5'!$A$7:$A$1006),0))=0,"",INDEX('All 5'!$A$7:$A$1006,MATCH(0,COUNTIF($A$1:A19,'All 5'!$A$7:$A$1006),0))),"")</f>
        <v/>
      </c>
      <c r="B20" s="2" t="str">
        <f>IF($A20="","",SUMIF('All 5'!$A$7:$A$1006,$A20,'All 5'!B$7:B$1006))</f>
        <v/>
      </c>
      <c r="C20" s="2" t="str">
        <f>IF($A20="","",SUMIF('All 5'!$A$7:$A$1006,$A20,'All 5'!C$7:C$1006))</f>
        <v/>
      </c>
      <c r="D20" s="2" t="str">
        <f>IF($A20="","",SUMIF('All 5'!$A$7:$A$1006,$A20,'All 5'!D$7:D$1006))</f>
        <v/>
      </c>
      <c r="E20" s="2" t="str">
        <f>IF($A20="","",SUMIF('All 5'!$A$7:$A$1006,$A20,'All 5'!E$7:E$1006))</f>
        <v/>
      </c>
      <c r="F20" s="2" t="str">
        <f>IF($A20="","",SUMIF('All 5'!$A$7:$A$1006,$A20,'All 5'!F$7:F$1006))</f>
        <v/>
      </c>
    </row>
    <row r="21" spans="1:6">
      <c r="A21" s="1" t="str" cm="1">
        <f t="array" ref="A21">IFERROR(IF(INDEX('All 5'!$A$7:$A$1006,MATCH(0,COUNTIF($A$1:A20,'All 5'!$A$7:$A$1006),0))=0,"",INDEX('All 5'!$A$7:$A$1006,MATCH(0,COUNTIF($A$1:A20,'All 5'!$A$7:$A$1006),0))),"")</f>
        <v/>
      </c>
      <c r="B21" s="2" t="str">
        <f>IF($A21="","",SUMIF('All 5'!$A$7:$A$1006,$A21,'All 5'!B$7:B$1006))</f>
        <v/>
      </c>
      <c r="C21" s="2" t="str">
        <f>IF($A21="","",SUMIF('All 5'!$A$7:$A$1006,$A21,'All 5'!C$7:C$1006))</f>
        <v/>
      </c>
      <c r="D21" s="2" t="str">
        <f>IF($A21="","",SUMIF('All 5'!$A$7:$A$1006,$A21,'All 5'!D$7:D$1006))</f>
        <v/>
      </c>
      <c r="E21" s="2" t="str">
        <f>IF($A21="","",SUMIF('All 5'!$A$7:$A$1006,$A21,'All 5'!E$7:E$1006))</f>
        <v/>
      </c>
      <c r="F21" s="2" t="str">
        <f>IF($A21="","",SUMIF('All 5'!$A$7:$A$1006,$A21,'All 5'!F$7:F$1006))</f>
        <v/>
      </c>
    </row>
    <row r="22" spans="1:6">
      <c r="A22" s="1" t="str" cm="1">
        <f t="array" ref="A22">IFERROR(IF(INDEX('All 5'!$A$7:$A$1006,MATCH(0,COUNTIF($A$1:A21,'All 5'!$A$7:$A$1006),0))=0,"",INDEX('All 5'!$A$7:$A$1006,MATCH(0,COUNTIF($A$1:A21,'All 5'!$A$7:$A$1006),0))),"")</f>
        <v/>
      </c>
      <c r="B22" s="2" t="str">
        <f>IF($A22="","",SUMIF('All 5'!$A$7:$A$1006,$A22,'All 5'!B$7:B$1006))</f>
        <v/>
      </c>
      <c r="C22" s="2" t="str">
        <f>IF($A22="","",SUMIF('All 5'!$A$7:$A$1006,$A22,'All 5'!C$7:C$1006))</f>
        <v/>
      </c>
      <c r="D22" s="2" t="str">
        <f>IF($A22="","",SUMIF('All 5'!$A$7:$A$1006,$A22,'All 5'!D$7:D$1006))</f>
        <v/>
      </c>
      <c r="E22" s="2" t="str">
        <f>IF($A22="","",SUMIF('All 5'!$A$7:$A$1006,$A22,'All 5'!E$7:E$1006))</f>
        <v/>
      </c>
      <c r="F22" s="2" t="str">
        <f>IF($A22="","",SUMIF('All 5'!$A$7:$A$1006,$A22,'All 5'!F$7:F$1006))</f>
        <v/>
      </c>
    </row>
    <row r="23" spans="1:6">
      <c r="A23" s="1" t="str" cm="1">
        <f t="array" ref="A23">IFERROR(IF(INDEX('All 5'!$A$7:$A$1006,MATCH(0,COUNTIF($A$1:A22,'All 5'!$A$7:$A$1006),0))=0,"",INDEX('All 5'!$A$7:$A$1006,MATCH(0,COUNTIF($A$1:A22,'All 5'!$A$7:$A$1006),0))),"")</f>
        <v/>
      </c>
      <c r="B23" s="2" t="str">
        <f>IF($A23="","",SUMIF('All 5'!$A$7:$A$1006,$A23,'All 5'!B$7:B$1006))</f>
        <v/>
      </c>
      <c r="C23" s="2" t="str">
        <f>IF($A23="","",SUMIF('All 5'!$A$7:$A$1006,$A23,'All 5'!C$7:C$1006))</f>
        <v/>
      </c>
      <c r="D23" s="2" t="str">
        <f>IF($A23="","",SUMIF('All 5'!$A$7:$A$1006,$A23,'All 5'!D$7:D$1006))</f>
        <v/>
      </c>
      <c r="E23" s="2" t="str">
        <f>IF($A23="","",SUMIF('All 5'!$A$7:$A$1006,$A23,'All 5'!E$7:E$1006))</f>
        <v/>
      </c>
      <c r="F23" s="2" t="str">
        <f>IF($A23="","",SUMIF('All 5'!$A$7:$A$1006,$A23,'All 5'!F$7:F$1006))</f>
        <v/>
      </c>
    </row>
    <row r="24" spans="1:6">
      <c r="A24" s="1" t="str" cm="1">
        <f t="array" ref="A24">IFERROR(IF(INDEX('All 5'!$A$7:$A$1006,MATCH(0,COUNTIF($A$1:A23,'All 5'!$A$7:$A$1006),0))=0,"",INDEX('All 5'!$A$7:$A$1006,MATCH(0,COUNTIF($A$1:A23,'All 5'!$A$7:$A$1006),0))),"")</f>
        <v/>
      </c>
      <c r="B24" s="2" t="str">
        <f>IF($A24="","",SUMIF('All 5'!$A$7:$A$1006,$A24,'All 5'!B$7:B$1006))</f>
        <v/>
      </c>
      <c r="C24" s="2" t="str">
        <f>IF($A24="","",SUMIF('All 5'!$A$7:$A$1006,$A24,'All 5'!C$7:C$1006))</f>
        <v/>
      </c>
      <c r="D24" s="2" t="str">
        <f>IF($A24="","",SUMIF('All 5'!$A$7:$A$1006,$A24,'All 5'!D$7:D$1006))</f>
        <v/>
      </c>
      <c r="E24" s="2" t="str">
        <f>IF($A24="","",SUMIF('All 5'!$A$7:$A$1006,$A24,'All 5'!E$7:E$1006))</f>
        <v/>
      </c>
      <c r="F24" s="2" t="str">
        <f>IF($A24="","",SUMIF('All 5'!$A$7:$A$1006,$A24,'All 5'!F$7:F$1006))</f>
        <v/>
      </c>
    </row>
    <row r="25" spans="1:6">
      <c r="A25" s="1" t="str" cm="1">
        <f t="array" ref="A25">IFERROR(IF(INDEX('All 5'!$A$7:$A$1006,MATCH(0,COUNTIF($A$1:A24,'All 5'!$A$7:$A$1006),0))=0,"",INDEX('All 5'!$A$7:$A$1006,MATCH(0,COUNTIF($A$1:A24,'All 5'!$A$7:$A$1006),0))),"")</f>
        <v/>
      </c>
      <c r="B25" s="2" t="str">
        <f>IF($A25="","",SUMIF('All 5'!$A$7:$A$1006,$A25,'All 5'!B$7:B$1006))</f>
        <v/>
      </c>
      <c r="C25" s="2" t="str">
        <f>IF($A25="","",SUMIF('All 5'!$A$7:$A$1006,$A25,'All 5'!C$7:C$1006))</f>
        <v/>
      </c>
      <c r="D25" s="2" t="str">
        <f>IF($A25="","",SUMIF('All 5'!$A$7:$A$1006,$A25,'All 5'!D$7:D$1006))</f>
        <v/>
      </c>
      <c r="E25" s="2" t="str">
        <f>IF($A25="","",SUMIF('All 5'!$A$7:$A$1006,$A25,'All 5'!E$7:E$1006))</f>
        <v/>
      </c>
      <c r="F25" s="2" t="str">
        <f>IF($A25="","",SUMIF('All 5'!$A$7:$A$1006,$A25,'All 5'!F$7:F$1006))</f>
        <v/>
      </c>
    </row>
    <row r="26" spans="1:6">
      <c r="A26" s="1" t="str" cm="1">
        <f t="array" ref="A26">IFERROR(IF(INDEX('All 5'!$A$7:$A$1006,MATCH(0,COUNTIF($A$1:A25,'All 5'!$A$7:$A$1006),0))=0,"",INDEX('All 5'!$A$7:$A$1006,MATCH(0,COUNTIF($A$1:A25,'All 5'!$A$7:$A$1006),0))),"")</f>
        <v/>
      </c>
      <c r="B26" s="2" t="str">
        <f>IF($A26="","",SUMIF('All 5'!$A$7:$A$1006,$A26,'All 5'!B$7:B$1006))</f>
        <v/>
      </c>
      <c r="C26" s="2" t="str">
        <f>IF($A26="","",SUMIF('All 5'!$A$7:$A$1006,$A26,'All 5'!C$7:C$1006))</f>
        <v/>
      </c>
      <c r="D26" s="2" t="str">
        <f>IF($A26="","",SUMIF('All 5'!$A$7:$A$1006,$A26,'All 5'!D$7:D$1006))</f>
        <v/>
      </c>
      <c r="E26" s="2" t="str">
        <f>IF($A26="","",SUMIF('All 5'!$A$7:$A$1006,$A26,'All 5'!E$7:E$1006))</f>
        <v/>
      </c>
      <c r="F26" s="2" t="str">
        <f>IF($A26="","",SUMIF('All 5'!$A$7:$A$1006,$A26,'All 5'!F$7:F$1006))</f>
        <v/>
      </c>
    </row>
    <row r="27" spans="1:6">
      <c r="A27" s="1" t="str" cm="1">
        <f t="array" ref="A27">IFERROR(IF(INDEX('All 5'!$A$7:$A$1006,MATCH(0,COUNTIF($A$1:A26,'All 5'!$A$7:$A$1006),0))=0,"",INDEX('All 5'!$A$7:$A$1006,MATCH(0,COUNTIF($A$1:A26,'All 5'!$A$7:$A$1006),0))),"")</f>
        <v/>
      </c>
      <c r="B27" s="2" t="str">
        <f>IF($A27="","",SUMIF('All 5'!$A$7:$A$1006,$A27,'All 5'!B$7:B$1006))</f>
        <v/>
      </c>
      <c r="C27" s="2" t="str">
        <f>IF($A27="","",SUMIF('All 5'!$A$7:$A$1006,$A27,'All 5'!C$7:C$1006))</f>
        <v/>
      </c>
      <c r="D27" s="2" t="str">
        <f>IF($A27="","",SUMIF('All 5'!$A$7:$A$1006,$A27,'All 5'!D$7:D$1006))</f>
        <v/>
      </c>
      <c r="E27" s="2" t="str">
        <f>IF($A27="","",SUMIF('All 5'!$A$7:$A$1006,$A27,'All 5'!E$7:E$1006))</f>
        <v/>
      </c>
      <c r="F27" s="2" t="str">
        <f>IF($A27="","",SUMIF('All 5'!$A$7:$A$1006,$A27,'All 5'!F$7:F$1006))</f>
        <v/>
      </c>
    </row>
    <row r="28" spans="1:6">
      <c r="A28" s="1" t="str" cm="1">
        <f t="array" ref="A28">IFERROR(IF(INDEX('All 5'!$A$7:$A$1006,MATCH(0,COUNTIF($A$1:A27,'All 5'!$A$7:$A$1006),0))=0,"",INDEX('All 5'!$A$7:$A$1006,MATCH(0,COUNTIF($A$1:A27,'All 5'!$A$7:$A$1006),0))),"")</f>
        <v/>
      </c>
      <c r="B28" s="2" t="str">
        <f>IF($A28="","",SUMIF('All 5'!$A$7:$A$1006,$A28,'All 5'!B$7:B$1006))</f>
        <v/>
      </c>
      <c r="C28" s="2" t="str">
        <f>IF($A28="","",SUMIF('All 5'!$A$7:$A$1006,$A28,'All 5'!C$7:C$1006))</f>
        <v/>
      </c>
      <c r="D28" s="2" t="str">
        <f>IF($A28="","",SUMIF('All 5'!$A$7:$A$1006,$A28,'All 5'!D$7:D$1006))</f>
        <v/>
      </c>
      <c r="E28" s="2" t="str">
        <f>IF($A28="","",SUMIF('All 5'!$A$7:$A$1006,$A28,'All 5'!E$7:E$1006))</f>
        <v/>
      </c>
      <c r="F28" s="2" t="str">
        <f>IF($A28="","",SUMIF('All 5'!$A$7:$A$1006,$A28,'All 5'!F$7:F$1006))</f>
        <v/>
      </c>
    </row>
    <row r="29" spans="1:6">
      <c r="A29" s="1" t="str" cm="1">
        <f t="array" ref="A29">IFERROR(IF(INDEX('All 5'!$A$7:$A$1006,MATCH(0,COUNTIF($A$1:A28,'All 5'!$A$7:$A$1006),0))=0,"",INDEX('All 5'!$A$7:$A$1006,MATCH(0,COUNTIF($A$1:A28,'All 5'!$A$7:$A$1006),0))),"")</f>
        <v/>
      </c>
      <c r="B29" s="2" t="str">
        <f>IF($A29="","",SUMIF('All 5'!$A$7:$A$1006,$A29,'All 5'!B$7:B$1006))</f>
        <v/>
      </c>
      <c r="C29" s="2" t="str">
        <f>IF($A29="","",SUMIF('All 5'!$A$7:$A$1006,$A29,'All 5'!C$7:C$1006))</f>
        <v/>
      </c>
      <c r="D29" s="2" t="str">
        <f>IF($A29="","",SUMIF('All 5'!$A$7:$A$1006,$A29,'All 5'!D$7:D$1006))</f>
        <v/>
      </c>
      <c r="E29" s="2" t="str">
        <f>IF($A29="","",SUMIF('All 5'!$A$7:$A$1006,$A29,'All 5'!E$7:E$1006))</f>
        <v/>
      </c>
      <c r="F29" s="2" t="str">
        <f>IF($A29="","",SUMIF('All 5'!$A$7:$A$1006,$A29,'All 5'!F$7:F$1006))</f>
        <v/>
      </c>
    </row>
    <row r="30" spans="1:6">
      <c r="A30" s="1" t="str" cm="1">
        <f t="array" ref="A30">IFERROR(IF(INDEX('All 5'!$A$7:$A$1006,MATCH(0,COUNTIF($A$1:A29,'All 5'!$A$7:$A$1006),0))=0,"",INDEX('All 5'!$A$7:$A$1006,MATCH(0,COUNTIF($A$1:A29,'All 5'!$A$7:$A$1006),0))),"")</f>
        <v/>
      </c>
      <c r="B30" s="2" t="str">
        <f>IF($A30="","",SUMIF('All 5'!$A$7:$A$1006,$A30,'All 5'!B$7:B$1006))</f>
        <v/>
      </c>
      <c r="C30" s="2" t="str">
        <f>IF($A30="","",SUMIF('All 5'!$A$7:$A$1006,$A30,'All 5'!C$7:C$1006))</f>
        <v/>
      </c>
      <c r="D30" s="2" t="str">
        <f>IF($A30="","",SUMIF('All 5'!$A$7:$A$1006,$A30,'All 5'!D$7:D$1006))</f>
        <v/>
      </c>
      <c r="E30" s="2" t="str">
        <f>IF($A30="","",SUMIF('All 5'!$A$7:$A$1006,$A30,'All 5'!E$7:E$1006))</f>
        <v/>
      </c>
      <c r="F30" s="2" t="str">
        <f>IF($A30="","",SUMIF('All 5'!$A$7:$A$1006,$A30,'All 5'!F$7:F$1006))</f>
        <v/>
      </c>
    </row>
    <row r="31" spans="1:6">
      <c r="A31" s="1" t="str" cm="1">
        <f t="array" ref="A31">IFERROR(IF(INDEX('All 5'!$A$7:$A$1006,MATCH(0,COUNTIF($A$1:A30,'All 5'!$A$7:$A$1006),0))=0,"",INDEX('All 5'!$A$7:$A$1006,MATCH(0,COUNTIF($A$1:A30,'All 5'!$A$7:$A$1006),0))),"")</f>
        <v/>
      </c>
      <c r="B31" s="2" t="str">
        <f>IF($A31="","",SUMIF('All 5'!$A$7:$A$1006,$A31,'All 5'!B$7:B$1006))</f>
        <v/>
      </c>
      <c r="C31" s="2" t="str">
        <f>IF($A31="","",SUMIF('All 5'!$A$7:$A$1006,$A31,'All 5'!C$7:C$1006))</f>
        <v/>
      </c>
      <c r="D31" s="2" t="str">
        <f>IF($A31="","",SUMIF('All 5'!$A$7:$A$1006,$A31,'All 5'!D$7:D$1006))</f>
        <v/>
      </c>
      <c r="E31" s="2" t="str">
        <f>IF($A31="","",SUMIF('All 5'!$A$7:$A$1006,$A31,'All 5'!E$7:E$1006))</f>
        <v/>
      </c>
      <c r="F31" s="2" t="str">
        <f>IF($A31="","",SUMIF('All 5'!$A$7:$A$1006,$A31,'All 5'!F$7:F$1006))</f>
        <v/>
      </c>
    </row>
    <row r="32" spans="1:6">
      <c r="A32" s="1" t="str" cm="1">
        <f t="array" ref="A32">IFERROR(IF(INDEX('All 5'!$A$7:$A$1006,MATCH(0,COUNTIF($A$1:A31,'All 5'!$A$7:$A$1006),0))=0,"",INDEX('All 5'!$A$7:$A$1006,MATCH(0,COUNTIF($A$1:A31,'All 5'!$A$7:$A$1006),0))),"")</f>
        <v/>
      </c>
      <c r="B32" s="2" t="str">
        <f>IF($A32="","",SUMIF('All 5'!$A$7:$A$1006,$A32,'All 5'!B$7:B$1006))</f>
        <v/>
      </c>
      <c r="C32" s="2" t="str">
        <f>IF($A32="","",SUMIF('All 5'!$A$7:$A$1006,$A32,'All 5'!C$7:C$1006))</f>
        <v/>
      </c>
      <c r="D32" s="2" t="str">
        <f>IF($A32="","",SUMIF('All 5'!$A$7:$A$1006,$A32,'All 5'!D$7:D$1006))</f>
        <v/>
      </c>
      <c r="E32" s="2" t="str">
        <f>IF($A32="","",SUMIF('All 5'!$A$7:$A$1006,$A32,'All 5'!E$7:E$1006))</f>
        <v/>
      </c>
      <c r="F32" s="2" t="str">
        <f>IF($A32="","",SUMIF('All 5'!$A$7:$A$1006,$A32,'All 5'!F$7:F$1006))</f>
        <v/>
      </c>
    </row>
    <row r="33" spans="1:6">
      <c r="A33" s="1" t="str" cm="1">
        <f t="array" ref="A33">IFERROR(IF(INDEX('All 5'!$A$7:$A$1006,MATCH(0,COUNTIF($A$1:A32,'All 5'!$A$7:$A$1006),0))=0,"",INDEX('All 5'!$A$7:$A$1006,MATCH(0,COUNTIF($A$1:A32,'All 5'!$A$7:$A$1006),0))),"")</f>
        <v/>
      </c>
      <c r="B33" s="2" t="str">
        <f>IF($A33="","",SUMIF('All 5'!$A$7:$A$1006,$A33,'All 5'!B$7:B$1006))</f>
        <v/>
      </c>
      <c r="C33" s="2" t="str">
        <f>IF($A33="","",SUMIF('All 5'!$A$7:$A$1006,$A33,'All 5'!C$7:C$1006))</f>
        <v/>
      </c>
      <c r="D33" s="2" t="str">
        <f>IF($A33="","",SUMIF('All 5'!$A$7:$A$1006,$A33,'All 5'!D$7:D$1006))</f>
        <v/>
      </c>
      <c r="E33" s="2" t="str">
        <f>IF($A33="","",SUMIF('All 5'!$A$7:$A$1006,$A33,'All 5'!E$7:E$1006))</f>
        <v/>
      </c>
      <c r="F33" s="2" t="str">
        <f>IF($A33="","",SUMIF('All 5'!$A$7:$A$1006,$A33,'All 5'!F$7:F$1006))</f>
        <v/>
      </c>
    </row>
    <row r="34" spans="1:6">
      <c r="A34" s="1" t="str" cm="1">
        <f t="array" ref="A34">IFERROR(IF(INDEX('All 5'!$A$7:$A$1006,MATCH(0,COUNTIF($A$1:A33,'All 5'!$A$7:$A$1006),0))=0,"",INDEX('All 5'!$A$7:$A$1006,MATCH(0,COUNTIF($A$1:A33,'All 5'!$A$7:$A$1006),0))),"")</f>
        <v/>
      </c>
      <c r="B34" s="2" t="str">
        <f>IF($A34="","",SUMIF('All 5'!$A$7:$A$1006,$A34,'All 5'!B$7:B$1006))</f>
        <v/>
      </c>
      <c r="C34" s="2" t="str">
        <f>IF($A34="","",SUMIF('All 5'!$A$7:$A$1006,$A34,'All 5'!C$7:C$1006))</f>
        <v/>
      </c>
      <c r="D34" s="2" t="str">
        <f>IF($A34="","",SUMIF('All 5'!$A$7:$A$1006,$A34,'All 5'!D$7:D$1006))</f>
        <v/>
      </c>
      <c r="E34" s="2" t="str">
        <f>IF($A34="","",SUMIF('All 5'!$A$7:$A$1006,$A34,'All 5'!E$7:E$1006))</f>
        <v/>
      </c>
      <c r="F34" s="2" t="str">
        <f>IF($A34="","",SUMIF('All 5'!$A$7:$A$1006,$A34,'All 5'!F$7:F$1006))</f>
        <v/>
      </c>
    </row>
    <row r="35" spans="1:6">
      <c r="A35" s="1" t="str" cm="1">
        <f t="array" ref="A35">IFERROR(IF(INDEX('All 5'!$A$7:$A$1006,MATCH(0,COUNTIF($A$1:A34,'All 5'!$A$7:$A$1006),0))=0,"",INDEX('All 5'!$A$7:$A$1006,MATCH(0,COUNTIF($A$1:A34,'All 5'!$A$7:$A$1006),0))),"")</f>
        <v/>
      </c>
      <c r="B35" s="2" t="str">
        <f>IF($A35="","",SUMIF('All 5'!$A$7:$A$1006,$A35,'All 5'!B$7:B$1006))</f>
        <v/>
      </c>
      <c r="C35" s="2" t="str">
        <f>IF($A35="","",SUMIF('All 5'!$A$7:$A$1006,$A35,'All 5'!C$7:C$1006))</f>
        <v/>
      </c>
      <c r="D35" s="2" t="str">
        <f>IF($A35="","",SUMIF('All 5'!$A$7:$A$1006,$A35,'All 5'!D$7:D$1006))</f>
        <v/>
      </c>
      <c r="E35" s="2" t="str">
        <f>IF($A35="","",SUMIF('All 5'!$A$7:$A$1006,$A35,'All 5'!E$7:E$1006))</f>
        <v/>
      </c>
      <c r="F35" s="2" t="str">
        <f>IF($A35="","",SUMIF('All 5'!$A$7:$A$1006,$A35,'All 5'!F$7:F$1006))</f>
        <v/>
      </c>
    </row>
    <row r="36" spans="1:6">
      <c r="A36" s="1" t="str" cm="1">
        <f t="array" ref="A36">IFERROR(IF(INDEX('All 5'!$A$7:$A$1006,MATCH(0,COUNTIF($A$1:A35,'All 5'!$A$7:$A$1006),0))=0,"",INDEX('All 5'!$A$7:$A$1006,MATCH(0,COUNTIF($A$1:A35,'All 5'!$A$7:$A$1006),0))),"")</f>
        <v/>
      </c>
      <c r="B36" s="2" t="str">
        <f>IF($A36="","",SUMIF('All 5'!$A$7:$A$1006,$A36,'All 5'!B$7:B$1006))</f>
        <v/>
      </c>
      <c r="C36" s="2" t="str">
        <f>IF($A36="","",SUMIF('All 5'!$A$7:$A$1006,$A36,'All 5'!C$7:C$1006))</f>
        <v/>
      </c>
      <c r="D36" s="2" t="str">
        <f>IF($A36="","",SUMIF('All 5'!$A$7:$A$1006,$A36,'All 5'!D$7:D$1006))</f>
        <v/>
      </c>
      <c r="E36" s="2" t="str">
        <f>IF($A36="","",SUMIF('All 5'!$A$7:$A$1006,$A36,'All 5'!E$7:E$1006))</f>
        <v/>
      </c>
      <c r="F36" s="2" t="str">
        <f>IF($A36="","",SUMIF('All 5'!$A$7:$A$1006,$A36,'All 5'!F$7:F$1006))</f>
        <v/>
      </c>
    </row>
    <row r="37" spans="1:6">
      <c r="A37" s="1" t="str" cm="1">
        <f t="array" ref="A37">IFERROR(IF(INDEX('All 5'!$A$7:$A$1006,MATCH(0,COUNTIF($A$1:A36,'All 5'!$A$7:$A$1006),0))=0,"",INDEX('All 5'!$A$7:$A$1006,MATCH(0,COUNTIF($A$1:A36,'All 5'!$A$7:$A$1006),0))),"")</f>
        <v/>
      </c>
      <c r="B37" s="2" t="str">
        <f>IF($A37="","",SUMIF('All 5'!$A$7:$A$1006,$A37,'All 5'!B$7:B$1006))</f>
        <v/>
      </c>
      <c r="C37" s="2" t="str">
        <f>IF($A37="","",SUMIF('All 5'!$A$7:$A$1006,$A37,'All 5'!C$7:C$1006))</f>
        <v/>
      </c>
      <c r="D37" s="2" t="str">
        <f>IF($A37="","",SUMIF('All 5'!$A$7:$A$1006,$A37,'All 5'!D$7:D$1006))</f>
        <v/>
      </c>
      <c r="E37" s="2" t="str">
        <f>IF($A37="","",SUMIF('All 5'!$A$7:$A$1006,$A37,'All 5'!E$7:E$1006))</f>
        <v/>
      </c>
      <c r="F37" s="2" t="str">
        <f>IF($A37="","",SUMIF('All 5'!$A$7:$A$1006,$A37,'All 5'!F$7:F$1006))</f>
        <v/>
      </c>
    </row>
    <row r="38" spans="1:6">
      <c r="A38" s="1" t="str" cm="1">
        <f t="array" ref="A38">IFERROR(IF(INDEX('All 5'!$A$7:$A$1006,MATCH(0,COUNTIF($A$1:A37,'All 5'!$A$7:$A$1006),0))=0,"",INDEX('All 5'!$A$7:$A$1006,MATCH(0,COUNTIF($A$1:A37,'All 5'!$A$7:$A$1006),0))),"")</f>
        <v/>
      </c>
      <c r="B38" s="2" t="str">
        <f>IF($A38="","",SUMIF('All 5'!$A$7:$A$1006,$A38,'All 5'!B$7:B$1006))</f>
        <v/>
      </c>
      <c r="C38" s="2" t="str">
        <f>IF($A38="","",SUMIF('All 5'!$A$7:$A$1006,$A38,'All 5'!C$7:C$1006))</f>
        <v/>
      </c>
      <c r="D38" s="2" t="str">
        <f>IF($A38="","",SUMIF('All 5'!$A$7:$A$1006,$A38,'All 5'!D$7:D$1006))</f>
        <v/>
      </c>
      <c r="E38" s="2" t="str">
        <f>IF($A38="","",SUMIF('All 5'!$A$7:$A$1006,$A38,'All 5'!E$7:E$1006))</f>
        <v/>
      </c>
      <c r="F38" s="2" t="str">
        <f>IF($A38="","",SUMIF('All 5'!$A$7:$A$1006,$A38,'All 5'!F$7:F$1006))</f>
        <v/>
      </c>
    </row>
    <row r="39" spans="1:6">
      <c r="A39" s="1" t="str" cm="1">
        <f t="array" ref="A39">IFERROR(IF(INDEX('All 5'!$A$7:$A$1006,MATCH(0,COUNTIF($A$1:A38,'All 5'!$A$7:$A$1006),0))=0,"",INDEX('All 5'!$A$7:$A$1006,MATCH(0,COUNTIF($A$1:A38,'All 5'!$A$7:$A$1006),0))),"")</f>
        <v/>
      </c>
      <c r="B39" s="2" t="str">
        <f>IF($A39="","",SUMIF('All 5'!$A$7:$A$1006,$A39,'All 5'!B$7:B$1006))</f>
        <v/>
      </c>
      <c r="C39" s="2" t="str">
        <f>IF($A39="","",SUMIF('All 5'!$A$7:$A$1006,$A39,'All 5'!C$7:C$1006))</f>
        <v/>
      </c>
      <c r="D39" s="2" t="str">
        <f>IF($A39="","",SUMIF('All 5'!$A$7:$A$1006,$A39,'All 5'!D$7:D$1006))</f>
        <v/>
      </c>
      <c r="E39" s="2" t="str">
        <f>IF($A39="","",SUMIF('All 5'!$A$7:$A$1006,$A39,'All 5'!E$7:E$1006))</f>
        <v/>
      </c>
      <c r="F39" s="2" t="str">
        <f>IF($A39="","",SUMIF('All 5'!$A$7:$A$1006,$A39,'All 5'!F$7:F$1006))</f>
        <v/>
      </c>
    </row>
    <row r="40" spans="1:6">
      <c r="A40" s="1" t="str" cm="1">
        <f t="array" ref="A40">IFERROR(IF(INDEX('All 5'!$A$7:$A$1006,MATCH(0,COUNTIF($A$1:A39,'All 5'!$A$7:$A$1006),0))=0,"",INDEX('All 5'!$A$7:$A$1006,MATCH(0,COUNTIF($A$1:A39,'All 5'!$A$7:$A$1006),0))),"")</f>
        <v/>
      </c>
      <c r="B40" s="2" t="str">
        <f>IF($A40="","",SUMIF('All 5'!$A$7:$A$1006,$A40,'All 5'!B$7:B$1006))</f>
        <v/>
      </c>
      <c r="C40" s="2" t="str">
        <f>IF($A40="","",SUMIF('All 5'!$A$7:$A$1006,$A40,'All 5'!C$7:C$1006))</f>
        <v/>
      </c>
      <c r="D40" s="2" t="str">
        <f>IF($A40="","",SUMIF('All 5'!$A$7:$A$1006,$A40,'All 5'!D$7:D$1006))</f>
        <v/>
      </c>
      <c r="E40" s="2" t="str">
        <f>IF($A40="","",SUMIF('All 5'!$A$7:$A$1006,$A40,'All 5'!E$7:E$1006))</f>
        <v/>
      </c>
      <c r="F40" s="2" t="str">
        <f>IF($A40="","",SUMIF('All 5'!$A$7:$A$1006,$A40,'All 5'!F$7:F$1006))</f>
        <v/>
      </c>
    </row>
    <row r="41" spans="1:6">
      <c r="A41" s="1" t="str" cm="1">
        <f t="array" ref="A41">IFERROR(IF(INDEX('All 5'!$A$7:$A$1006,MATCH(0,COUNTIF($A$1:A40,'All 5'!$A$7:$A$1006),0))=0,"",INDEX('All 5'!$A$7:$A$1006,MATCH(0,COUNTIF($A$1:A40,'All 5'!$A$7:$A$1006),0))),"")</f>
        <v/>
      </c>
      <c r="B41" s="2" t="str">
        <f>IF($A41="","",SUMIF('All 5'!$A$7:$A$1006,$A41,'All 5'!B$7:B$1006))</f>
        <v/>
      </c>
      <c r="C41" s="2" t="str">
        <f>IF($A41="","",SUMIF('All 5'!$A$7:$A$1006,$A41,'All 5'!C$7:C$1006))</f>
        <v/>
      </c>
      <c r="D41" s="2" t="str">
        <f>IF($A41="","",SUMIF('All 5'!$A$7:$A$1006,$A41,'All 5'!D$7:D$1006))</f>
        <v/>
      </c>
      <c r="E41" s="2" t="str">
        <f>IF($A41="","",SUMIF('All 5'!$A$7:$A$1006,$A41,'All 5'!E$7:E$1006))</f>
        <v/>
      </c>
      <c r="F41" s="2" t="str">
        <f>IF($A41="","",SUMIF('All 5'!$A$7:$A$1006,$A41,'All 5'!F$7:F$1006))</f>
        <v/>
      </c>
    </row>
    <row r="42" spans="1:6">
      <c r="A42" s="1" t="str" cm="1">
        <f t="array" ref="A42">IFERROR(IF(INDEX('All 5'!$A$7:$A$1006,MATCH(0,COUNTIF($A$1:A41,'All 5'!$A$7:$A$1006),0))=0,"",INDEX('All 5'!$A$7:$A$1006,MATCH(0,COUNTIF($A$1:A41,'All 5'!$A$7:$A$1006),0))),"")</f>
        <v/>
      </c>
      <c r="B42" s="2" t="str">
        <f>IF($A42="","",SUMIF('All 5'!$A$7:$A$1006,$A42,'All 5'!B$7:B$1006))</f>
        <v/>
      </c>
      <c r="C42" s="2" t="str">
        <f>IF($A42="","",SUMIF('All 5'!$A$7:$A$1006,$A42,'All 5'!C$7:C$1006))</f>
        <v/>
      </c>
      <c r="D42" s="2" t="str">
        <f>IF($A42="","",SUMIF('All 5'!$A$7:$A$1006,$A42,'All 5'!D$7:D$1006))</f>
        <v/>
      </c>
      <c r="E42" s="2" t="str">
        <f>IF($A42="","",SUMIF('All 5'!$A$7:$A$1006,$A42,'All 5'!E$7:E$1006))</f>
        <v/>
      </c>
      <c r="F42" s="2" t="str">
        <f>IF($A42="","",SUMIF('All 5'!$A$7:$A$1006,$A42,'All 5'!F$7:F$1006))</f>
        <v/>
      </c>
    </row>
    <row r="43" spans="1:6">
      <c r="A43" s="1" t="str" cm="1">
        <f t="array" ref="A43">IFERROR(IF(INDEX('All 5'!$A$7:$A$1006,MATCH(0,COUNTIF($A$1:A42,'All 5'!$A$7:$A$1006),0))=0,"",INDEX('All 5'!$A$7:$A$1006,MATCH(0,COUNTIF($A$1:A42,'All 5'!$A$7:$A$1006),0))),"")</f>
        <v/>
      </c>
      <c r="B43" s="2" t="str">
        <f>IF($A43="","",SUMIF('All 5'!$A$7:$A$1006,$A43,'All 5'!B$7:B$1006))</f>
        <v/>
      </c>
      <c r="C43" s="2" t="str">
        <f>IF($A43="","",SUMIF('All 5'!$A$7:$A$1006,$A43,'All 5'!C$7:C$1006))</f>
        <v/>
      </c>
      <c r="D43" s="2" t="str">
        <f>IF($A43="","",SUMIF('All 5'!$A$7:$A$1006,$A43,'All 5'!D$7:D$1006))</f>
        <v/>
      </c>
      <c r="E43" s="2" t="str">
        <f>IF($A43="","",SUMIF('All 5'!$A$7:$A$1006,$A43,'All 5'!E$7:E$1006))</f>
        <v/>
      </c>
      <c r="F43" s="2" t="str">
        <f>IF($A43="","",SUMIF('All 5'!$A$7:$A$1006,$A43,'All 5'!F$7:F$1006))</f>
        <v/>
      </c>
    </row>
    <row r="44" spans="1:6">
      <c r="A44" s="1" t="str" cm="1">
        <f t="array" ref="A44">IFERROR(IF(INDEX('All 5'!$A$7:$A$1006,MATCH(0,COUNTIF($A$1:A43,'All 5'!$A$7:$A$1006),0))=0,"",INDEX('All 5'!$A$7:$A$1006,MATCH(0,COUNTIF($A$1:A43,'All 5'!$A$7:$A$1006),0))),"")</f>
        <v/>
      </c>
      <c r="B44" s="2" t="str">
        <f>IF($A44="","",SUMIF('All 5'!$A$7:$A$1006,$A44,'All 5'!B$7:B$1006))</f>
        <v/>
      </c>
      <c r="C44" s="2" t="str">
        <f>IF($A44="","",SUMIF('All 5'!$A$7:$A$1006,$A44,'All 5'!C$7:C$1006))</f>
        <v/>
      </c>
      <c r="D44" s="2" t="str">
        <f>IF($A44="","",SUMIF('All 5'!$A$7:$A$1006,$A44,'All 5'!D$7:D$1006))</f>
        <v/>
      </c>
      <c r="E44" s="2" t="str">
        <f>IF($A44="","",SUMIF('All 5'!$A$7:$A$1006,$A44,'All 5'!E$7:E$1006))</f>
        <v/>
      </c>
      <c r="F44" s="2" t="str">
        <f>IF($A44="","",SUMIF('All 5'!$A$7:$A$1006,$A44,'All 5'!F$7:F$1006))</f>
        <v/>
      </c>
    </row>
    <row r="45" spans="1:6">
      <c r="A45" s="1" t="str" cm="1">
        <f t="array" ref="A45">IFERROR(IF(INDEX('All 5'!$A$7:$A$1006,MATCH(0,COUNTIF($A$1:A44,'All 5'!$A$7:$A$1006),0))=0,"",INDEX('All 5'!$A$7:$A$1006,MATCH(0,COUNTIF($A$1:A44,'All 5'!$A$7:$A$1006),0))),"")</f>
        <v/>
      </c>
      <c r="B45" s="2" t="str">
        <f>IF($A45="","",SUMIF('All 5'!$A$7:$A$1006,$A45,'All 5'!B$7:B$1006))</f>
        <v/>
      </c>
      <c r="C45" s="2" t="str">
        <f>IF($A45="","",SUMIF('All 5'!$A$7:$A$1006,$A45,'All 5'!C$7:C$1006))</f>
        <v/>
      </c>
      <c r="D45" s="2" t="str">
        <f>IF($A45="","",SUMIF('All 5'!$A$7:$A$1006,$A45,'All 5'!D$7:D$1006))</f>
        <v/>
      </c>
      <c r="E45" s="2" t="str">
        <f>IF($A45="","",SUMIF('All 5'!$A$7:$A$1006,$A45,'All 5'!E$7:E$1006))</f>
        <v/>
      </c>
      <c r="F45" s="2" t="str">
        <f>IF($A45="","",SUMIF('All 5'!$A$7:$A$1006,$A45,'All 5'!F$7:F$1006))</f>
        <v/>
      </c>
    </row>
    <row r="46" spans="1:6">
      <c r="A46" s="1" t="str" cm="1">
        <f t="array" ref="A46">IFERROR(IF(INDEX('All 5'!$A$7:$A$1006,MATCH(0,COUNTIF($A$1:A45,'All 5'!$A$7:$A$1006),0))=0,"",INDEX('All 5'!$A$7:$A$1006,MATCH(0,COUNTIF($A$1:A45,'All 5'!$A$7:$A$1006),0))),"")</f>
        <v/>
      </c>
      <c r="B46" s="2" t="str">
        <f>IF($A46="","",SUMIF('All 5'!$A$7:$A$1006,$A46,'All 5'!B$7:B$1006))</f>
        <v/>
      </c>
      <c r="C46" s="2" t="str">
        <f>IF($A46="","",SUMIF('All 5'!$A$7:$A$1006,$A46,'All 5'!C$7:C$1006))</f>
        <v/>
      </c>
      <c r="D46" s="2" t="str">
        <f>IF($A46="","",SUMIF('All 5'!$A$7:$A$1006,$A46,'All 5'!D$7:D$1006))</f>
        <v/>
      </c>
      <c r="E46" s="2" t="str">
        <f>IF($A46="","",SUMIF('All 5'!$A$7:$A$1006,$A46,'All 5'!E$7:E$1006))</f>
        <v/>
      </c>
      <c r="F46" s="2" t="str">
        <f>IF($A46="","",SUMIF('All 5'!$A$7:$A$1006,$A46,'All 5'!F$7:F$1006))</f>
        <v/>
      </c>
    </row>
    <row r="47" spans="1:6">
      <c r="A47" s="1" t="str" cm="1">
        <f t="array" ref="A47">IFERROR(IF(INDEX('All 5'!$A$7:$A$1006,MATCH(0,COUNTIF($A$1:A46,'All 5'!$A$7:$A$1006),0))=0,"",INDEX('All 5'!$A$7:$A$1006,MATCH(0,COUNTIF($A$1:A46,'All 5'!$A$7:$A$1006),0))),"")</f>
        <v/>
      </c>
      <c r="B47" s="2" t="str">
        <f>IF($A47="","",SUMIF('All 5'!$A$7:$A$1006,$A47,'All 5'!B$7:B$1006))</f>
        <v/>
      </c>
      <c r="C47" s="2" t="str">
        <f>IF($A47="","",SUMIF('All 5'!$A$7:$A$1006,$A47,'All 5'!C$7:C$1006))</f>
        <v/>
      </c>
      <c r="D47" s="2" t="str">
        <f>IF($A47="","",SUMIF('All 5'!$A$7:$A$1006,$A47,'All 5'!D$7:D$1006))</f>
        <v/>
      </c>
      <c r="E47" s="2" t="str">
        <f>IF($A47="","",SUMIF('All 5'!$A$7:$A$1006,$A47,'All 5'!E$7:E$1006))</f>
        <v/>
      </c>
      <c r="F47" s="2" t="str">
        <f>IF($A47="","",SUMIF('All 5'!$A$7:$A$1006,$A47,'All 5'!F$7:F$1006))</f>
        <v/>
      </c>
    </row>
    <row r="48" spans="1:6">
      <c r="A48" s="1" t="str" cm="1">
        <f t="array" ref="A48">IFERROR(IF(INDEX('All 5'!$A$7:$A$1006,MATCH(0,COUNTIF($A$1:A47,'All 5'!$A$7:$A$1006),0))=0,"",INDEX('All 5'!$A$7:$A$1006,MATCH(0,COUNTIF($A$1:A47,'All 5'!$A$7:$A$1006),0))),"")</f>
        <v/>
      </c>
      <c r="B48" s="2" t="str">
        <f>IF($A48="","",SUMIF('All 5'!$A$7:$A$1006,$A48,'All 5'!B$7:B$1006))</f>
        <v/>
      </c>
      <c r="C48" s="2" t="str">
        <f>IF($A48="","",SUMIF('All 5'!$A$7:$A$1006,$A48,'All 5'!C$7:C$1006))</f>
        <v/>
      </c>
      <c r="D48" s="2" t="str">
        <f>IF($A48="","",SUMIF('All 5'!$A$7:$A$1006,$A48,'All 5'!D$7:D$1006))</f>
        <v/>
      </c>
      <c r="E48" s="2" t="str">
        <f>IF($A48="","",SUMIF('All 5'!$A$7:$A$1006,$A48,'All 5'!E$7:E$1006))</f>
        <v/>
      </c>
      <c r="F48" s="2" t="str">
        <f>IF($A48="","",SUMIF('All 5'!$A$7:$A$1006,$A48,'All 5'!F$7:F$1006))</f>
        <v/>
      </c>
    </row>
    <row r="49" spans="1:6">
      <c r="A49" s="1" t="str" cm="1">
        <f t="array" ref="A49">IFERROR(IF(INDEX('All 5'!$A$7:$A$1006,MATCH(0,COUNTIF($A$1:A48,'All 5'!$A$7:$A$1006),0))=0,"",INDEX('All 5'!$A$7:$A$1006,MATCH(0,COUNTIF($A$1:A48,'All 5'!$A$7:$A$1006),0))),"")</f>
        <v/>
      </c>
      <c r="B49" s="2" t="str">
        <f>IF($A49="","",SUMIF('All 5'!$A$7:$A$1006,$A49,'All 5'!B$7:B$1006))</f>
        <v/>
      </c>
      <c r="C49" s="2" t="str">
        <f>IF($A49="","",SUMIF('All 5'!$A$7:$A$1006,$A49,'All 5'!C$7:C$1006))</f>
        <v/>
      </c>
      <c r="D49" s="2" t="str">
        <f>IF($A49="","",SUMIF('All 5'!$A$7:$A$1006,$A49,'All 5'!D$7:D$1006))</f>
        <v/>
      </c>
      <c r="E49" s="2" t="str">
        <f>IF($A49="","",SUMIF('All 5'!$A$7:$A$1006,$A49,'All 5'!E$7:E$1006))</f>
        <v/>
      </c>
      <c r="F49" s="2" t="str">
        <f>IF($A49="","",SUMIF('All 5'!$A$7:$A$1006,$A49,'All 5'!F$7:F$1006))</f>
        <v/>
      </c>
    </row>
    <row r="50" spans="1:6">
      <c r="A50" s="1" t="str" cm="1">
        <f t="array" ref="A50">IFERROR(IF(INDEX('All 5'!$A$7:$A$1006,MATCH(0,COUNTIF($A$1:A49,'All 5'!$A$7:$A$1006),0))=0,"",INDEX('All 5'!$A$7:$A$1006,MATCH(0,COUNTIF($A$1:A49,'All 5'!$A$7:$A$1006),0))),"")</f>
        <v/>
      </c>
      <c r="B50" s="2" t="str">
        <f>IF($A50="","",SUMIF('All 5'!$A$7:$A$1006,$A50,'All 5'!B$7:B$1006))</f>
        <v/>
      </c>
      <c r="C50" s="2" t="str">
        <f>IF($A50="","",SUMIF('All 5'!$A$7:$A$1006,$A50,'All 5'!C$7:C$1006))</f>
        <v/>
      </c>
      <c r="D50" s="2" t="str">
        <f>IF($A50="","",SUMIF('All 5'!$A$7:$A$1006,$A50,'All 5'!D$7:D$1006))</f>
        <v/>
      </c>
      <c r="E50" s="2" t="str">
        <f>IF($A50="","",SUMIF('All 5'!$A$7:$A$1006,$A50,'All 5'!E$7:E$1006))</f>
        <v/>
      </c>
      <c r="F50" s="2" t="str">
        <f>IF($A50="","",SUMIF('All 5'!$A$7:$A$1006,$A50,'All 5'!F$7:F$1006))</f>
        <v/>
      </c>
    </row>
    <row r="51" spans="1:6">
      <c r="A51" s="1" t="str" cm="1">
        <f t="array" ref="A51">IFERROR(IF(INDEX('All 5'!$A$7:$A$1006,MATCH(0,COUNTIF($A$1:A50,'All 5'!$A$7:$A$1006),0))=0,"",INDEX('All 5'!$A$7:$A$1006,MATCH(0,COUNTIF($A$1:A50,'All 5'!$A$7:$A$1006),0))),"")</f>
        <v/>
      </c>
      <c r="B51" s="2" t="str">
        <f>IF($A51="","",SUMIF('All 5'!$A$7:$A$1006,$A51,'All 5'!B$7:B$1006))</f>
        <v/>
      </c>
      <c r="C51" s="2" t="str">
        <f>IF($A51="","",SUMIF('All 5'!$A$7:$A$1006,$A51,'All 5'!C$7:C$1006))</f>
        <v/>
      </c>
      <c r="D51" s="2" t="str">
        <f>IF($A51="","",SUMIF('All 5'!$A$7:$A$1006,$A51,'All 5'!D$7:D$1006))</f>
        <v/>
      </c>
      <c r="E51" s="2" t="str">
        <f>IF($A51="","",SUMIF('All 5'!$A$7:$A$1006,$A51,'All 5'!E$7:E$1006))</f>
        <v/>
      </c>
      <c r="F51" s="2" t="str">
        <f>IF($A51="","",SUMIF('All 5'!$A$7:$A$1006,$A51,'All 5'!F$7:F$1006))</f>
        <v/>
      </c>
    </row>
    <row r="52" spans="1:6">
      <c r="A52" s="1" t="str" cm="1">
        <f t="array" ref="A52">IFERROR(IF(INDEX('All 5'!$A$7:$A$1006,MATCH(0,COUNTIF($A$1:A51,'All 5'!$A$7:$A$1006),0))=0,"",INDEX('All 5'!$A$7:$A$1006,MATCH(0,COUNTIF($A$1:A51,'All 5'!$A$7:$A$1006),0))),"")</f>
        <v/>
      </c>
      <c r="B52" s="2" t="str">
        <f>IF($A52="","",SUMIF('All 5'!$A$7:$A$1006,$A52,'All 5'!B$7:B$1006))</f>
        <v/>
      </c>
      <c r="C52" s="2" t="str">
        <f>IF($A52="","",SUMIF('All 5'!$A$7:$A$1006,$A52,'All 5'!C$7:C$1006))</f>
        <v/>
      </c>
      <c r="D52" s="2" t="str">
        <f>IF($A52="","",SUMIF('All 5'!$A$7:$A$1006,$A52,'All 5'!D$7:D$1006))</f>
        <v/>
      </c>
      <c r="E52" s="2" t="str">
        <f>IF($A52="","",SUMIF('All 5'!$A$7:$A$1006,$A52,'All 5'!E$7:E$1006))</f>
        <v/>
      </c>
      <c r="F52" s="2" t="str">
        <f>IF($A52="","",SUMIF('All 5'!$A$7:$A$1006,$A52,'All 5'!F$7:F$1006))</f>
        <v/>
      </c>
    </row>
    <row r="53" spans="1:6">
      <c r="A53" s="1" t="str" cm="1">
        <f t="array" ref="A53">IFERROR(IF(INDEX('All 5'!$A$7:$A$1006,MATCH(0,COUNTIF($A$1:A52,'All 5'!$A$7:$A$1006),0))=0,"",INDEX('All 5'!$A$7:$A$1006,MATCH(0,COUNTIF($A$1:A52,'All 5'!$A$7:$A$1006),0))),"")</f>
        <v/>
      </c>
      <c r="B53" s="2" t="str">
        <f>IF($A53="","",SUMIF('All 5'!$A$7:$A$1006,$A53,'All 5'!B$7:B$1006))</f>
        <v/>
      </c>
      <c r="C53" s="2" t="str">
        <f>IF($A53="","",SUMIF('All 5'!$A$7:$A$1006,$A53,'All 5'!C$7:C$1006))</f>
        <v/>
      </c>
      <c r="D53" s="2" t="str">
        <f>IF($A53="","",SUMIF('All 5'!$A$7:$A$1006,$A53,'All 5'!D$7:D$1006))</f>
        <v/>
      </c>
      <c r="E53" s="2" t="str">
        <f>IF($A53="","",SUMIF('All 5'!$A$7:$A$1006,$A53,'All 5'!E$7:E$1006))</f>
        <v/>
      </c>
      <c r="F53" s="2" t="str">
        <f>IF($A53="","",SUMIF('All 5'!$A$7:$A$1006,$A53,'All 5'!F$7:F$1006))</f>
        <v/>
      </c>
    </row>
    <row r="54" spans="1:6">
      <c r="A54" s="1" t="str" cm="1">
        <f t="array" ref="A54">IFERROR(IF(INDEX('All 5'!$A$7:$A$1006,MATCH(0,COUNTIF($A$1:A53,'All 5'!$A$7:$A$1006),0))=0,"",INDEX('All 5'!$A$7:$A$1006,MATCH(0,COUNTIF($A$1:A53,'All 5'!$A$7:$A$1006),0))),"")</f>
        <v/>
      </c>
      <c r="B54" s="2" t="str">
        <f>IF($A54="","",SUMIF('All 5'!$A$7:$A$1006,$A54,'All 5'!B$7:B$1006))</f>
        <v/>
      </c>
      <c r="C54" s="2" t="str">
        <f>IF($A54="","",SUMIF('All 5'!$A$7:$A$1006,$A54,'All 5'!C$7:C$1006))</f>
        <v/>
      </c>
      <c r="D54" s="2" t="str">
        <f>IF($A54="","",SUMIF('All 5'!$A$7:$A$1006,$A54,'All 5'!D$7:D$1006))</f>
        <v/>
      </c>
      <c r="E54" s="2" t="str">
        <f>IF($A54="","",SUMIF('All 5'!$A$7:$A$1006,$A54,'All 5'!E$7:E$1006))</f>
        <v/>
      </c>
      <c r="F54" s="2" t="str">
        <f>IF($A54="","",SUMIF('All 5'!$A$7:$A$1006,$A54,'All 5'!F$7:F$1006))</f>
        <v/>
      </c>
    </row>
    <row r="55" spans="1:6">
      <c r="A55" s="1" t="str" cm="1">
        <f t="array" ref="A55">IFERROR(IF(INDEX('All 5'!$A$7:$A$1006,MATCH(0,COUNTIF($A$1:A54,'All 5'!$A$7:$A$1006),0))=0,"",INDEX('All 5'!$A$7:$A$1006,MATCH(0,COUNTIF($A$1:A54,'All 5'!$A$7:$A$1006),0))),"")</f>
        <v/>
      </c>
      <c r="B55" s="2" t="str">
        <f>IF($A55="","",SUMIF('All 5'!$A$7:$A$1006,$A55,'All 5'!B$7:B$1006))</f>
        <v/>
      </c>
      <c r="C55" s="2" t="str">
        <f>IF($A55="","",SUMIF('All 5'!$A$7:$A$1006,$A55,'All 5'!C$7:C$1006))</f>
        <v/>
      </c>
      <c r="D55" s="2" t="str">
        <f>IF($A55="","",SUMIF('All 5'!$A$7:$A$1006,$A55,'All 5'!D$7:D$1006))</f>
        <v/>
      </c>
      <c r="E55" s="2" t="str">
        <f>IF($A55="","",SUMIF('All 5'!$A$7:$A$1006,$A55,'All 5'!E$7:E$1006))</f>
        <v/>
      </c>
      <c r="F55" s="2" t="str">
        <f>IF($A55="","",SUMIF('All 5'!$A$7:$A$1006,$A55,'All 5'!F$7:F$1006))</f>
        <v/>
      </c>
    </row>
    <row r="56" spans="1:6">
      <c r="A56" s="1" t="str" cm="1">
        <f t="array" ref="A56">IFERROR(IF(INDEX('All 5'!$A$7:$A$1006,MATCH(0,COUNTIF($A$1:A55,'All 5'!$A$7:$A$1006),0))=0,"",INDEX('All 5'!$A$7:$A$1006,MATCH(0,COUNTIF($A$1:A55,'All 5'!$A$7:$A$1006),0))),"")</f>
        <v/>
      </c>
      <c r="B56" s="2" t="str">
        <f>IF($A56="","",SUMIF('All 5'!$A$7:$A$1006,$A56,'All 5'!B$7:B$1006))</f>
        <v/>
      </c>
      <c r="C56" s="2" t="str">
        <f>IF($A56="","",SUMIF('All 5'!$A$7:$A$1006,$A56,'All 5'!C$7:C$1006))</f>
        <v/>
      </c>
      <c r="D56" s="2" t="str">
        <f>IF($A56="","",SUMIF('All 5'!$A$7:$A$1006,$A56,'All 5'!D$7:D$1006))</f>
        <v/>
      </c>
      <c r="E56" s="2" t="str">
        <f>IF($A56="","",SUMIF('All 5'!$A$7:$A$1006,$A56,'All 5'!E$7:E$1006))</f>
        <v/>
      </c>
      <c r="F56" s="2" t="str">
        <f>IF($A56="","",SUMIF('All 5'!$A$7:$A$1006,$A56,'All 5'!F$7:F$1006))</f>
        <v/>
      </c>
    </row>
    <row r="57" spans="1:6">
      <c r="A57" s="1" t="str" cm="1">
        <f t="array" ref="A57">IFERROR(IF(INDEX('All 5'!$A$7:$A$1006,MATCH(0,COUNTIF($A$1:A56,'All 5'!$A$7:$A$1006),0))=0,"",INDEX('All 5'!$A$7:$A$1006,MATCH(0,COUNTIF($A$1:A56,'All 5'!$A$7:$A$1006),0))),"")</f>
        <v/>
      </c>
      <c r="B57" s="2" t="str">
        <f>IF($A57="","",SUMIF('All 5'!$A$7:$A$1006,$A57,'All 5'!B$7:B$1006))</f>
        <v/>
      </c>
      <c r="C57" s="2" t="str">
        <f>IF($A57="","",SUMIF('All 5'!$A$7:$A$1006,$A57,'All 5'!C$7:C$1006))</f>
        <v/>
      </c>
      <c r="D57" s="2" t="str">
        <f>IF($A57="","",SUMIF('All 5'!$A$7:$A$1006,$A57,'All 5'!D$7:D$1006))</f>
        <v/>
      </c>
      <c r="E57" s="2" t="str">
        <f>IF($A57="","",SUMIF('All 5'!$A$7:$A$1006,$A57,'All 5'!E$7:E$1006))</f>
        <v/>
      </c>
      <c r="F57" s="2" t="str">
        <f>IF($A57="","",SUMIF('All 5'!$A$7:$A$1006,$A57,'All 5'!F$7:F$1006))</f>
        <v/>
      </c>
    </row>
    <row r="58" spans="1:6">
      <c r="A58" s="1" t="str" cm="1">
        <f t="array" ref="A58">IFERROR(IF(INDEX('All 5'!$A$7:$A$1006,MATCH(0,COUNTIF($A$1:A57,'All 5'!$A$7:$A$1006),0))=0,"",INDEX('All 5'!$A$7:$A$1006,MATCH(0,COUNTIF($A$1:A57,'All 5'!$A$7:$A$1006),0))),"")</f>
        <v/>
      </c>
      <c r="B58" s="2" t="str">
        <f>IF($A58="","",SUMIF('All 5'!$A$7:$A$1006,$A58,'All 5'!B$7:B$1006))</f>
        <v/>
      </c>
      <c r="C58" s="2" t="str">
        <f>IF($A58="","",SUMIF('All 5'!$A$7:$A$1006,$A58,'All 5'!C$7:C$1006))</f>
        <v/>
      </c>
      <c r="D58" s="2" t="str">
        <f>IF($A58="","",SUMIF('All 5'!$A$7:$A$1006,$A58,'All 5'!D$7:D$1006))</f>
        <v/>
      </c>
      <c r="E58" s="2" t="str">
        <f>IF($A58="","",SUMIF('All 5'!$A$7:$A$1006,$A58,'All 5'!E$7:E$1006))</f>
        <v/>
      </c>
      <c r="F58" s="2" t="str">
        <f>IF($A58="","",SUMIF('All 5'!$A$7:$A$1006,$A58,'All 5'!F$7:F$1006))</f>
        <v/>
      </c>
    </row>
    <row r="59" spans="1:6">
      <c r="A59" s="1" t="str" cm="1">
        <f t="array" ref="A59">IFERROR(IF(INDEX('All 5'!$A$7:$A$1006,MATCH(0,COUNTIF($A$1:A58,'All 5'!$A$7:$A$1006),0))=0,"",INDEX('All 5'!$A$7:$A$1006,MATCH(0,COUNTIF($A$1:A58,'All 5'!$A$7:$A$1006),0))),"")</f>
        <v/>
      </c>
      <c r="B59" s="2" t="str">
        <f>IF($A59="","",SUMIF('All 5'!$A$7:$A$1006,$A59,'All 5'!B$7:B$1006))</f>
        <v/>
      </c>
      <c r="C59" s="2" t="str">
        <f>IF($A59="","",SUMIF('All 5'!$A$7:$A$1006,$A59,'All 5'!C$7:C$1006))</f>
        <v/>
      </c>
      <c r="D59" s="2" t="str">
        <f>IF($A59="","",SUMIF('All 5'!$A$7:$A$1006,$A59,'All 5'!D$7:D$1006))</f>
        <v/>
      </c>
      <c r="E59" s="2" t="str">
        <f>IF($A59="","",SUMIF('All 5'!$A$7:$A$1006,$A59,'All 5'!E$7:E$1006))</f>
        <v/>
      </c>
      <c r="F59" s="2" t="str">
        <f>IF($A59="","",SUMIF('All 5'!$A$7:$A$1006,$A59,'All 5'!F$7:F$1006))</f>
        <v/>
      </c>
    </row>
    <row r="60" spans="1:6">
      <c r="A60" s="1" t="str" cm="1">
        <f t="array" ref="A60">IFERROR(IF(INDEX('All 5'!$A$7:$A$1006,MATCH(0,COUNTIF($A$1:A59,'All 5'!$A$7:$A$1006),0))=0,"",INDEX('All 5'!$A$7:$A$1006,MATCH(0,COUNTIF($A$1:A59,'All 5'!$A$7:$A$1006),0))),"")</f>
        <v/>
      </c>
      <c r="B60" s="2" t="str">
        <f>IF($A60="","",SUMIF('All 5'!$A$7:$A$1006,$A60,'All 5'!B$7:B$1006))</f>
        <v/>
      </c>
      <c r="C60" s="2" t="str">
        <f>IF($A60="","",SUMIF('All 5'!$A$7:$A$1006,$A60,'All 5'!C$7:C$1006))</f>
        <v/>
      </c>
      <c r="D60" s="2" t="str">
        <f>IF($A60="","",SUMIF('All 5'!$A$7:$A$1006,$A60,'All 5'!D$7:D$1006))</f>
        <v/>
      </c>
      <c r="E60" s="2" t="str">
        <f>IF($A60="","",SUMIF('All 5'!$A$7:$A$1006,$A60,'All 5'!E$7:E$1006))</f>
        <v/>
      </c>
      <c r="F60" s="2" t="str">
        <f>IF($A60="","",SUMIF('All 5'!$A$7:$A$1006,$A60,'All 5'!F$7:F$1006))</f>
        <v/>
      </c>
    </row>
    <row r="61" spans="1:6">
      <c r="A61" s="1" t="str" cm="1">
        <f t="array" ref="A61">IFERROR(IF(INDEX('All 5'!$A$7:$A$1006,MATCH(0,COUNTIF($A$1:A60,'All 5'!$A$7:$A$1006),0))=0,"",INDEX('All 5'!$A$7:$A$1006,MATCH(0,COUNTIF($A$1:A60,'All 5'!$A$7:$A$1006),0))),"")</f>
        <v/>
      </c>
      <c r="B61" s="2" t="str">
        <f>IF($A61="","",SUMIF('All 5'!$A$7:$A$1006,$A61,'All 5'!B$7:B$1006))</f>
        <v/>
      </c>
      <c r="C61" s="2" t="str">
        <f>IF($A61="","",SUMIF('All 5'!$A$7:$A$1006,$A61,'All 5'!C$7:C$1006))</f>
        <v/>
      </c>
      <c r="D61" s="2" t="str">
        <f>IF($A61="","",SUMIF('All 5'!$A$7:$A$1006,$A61,'All 5'!D$7:D$1006))</f>
        <v/>
      </c>
      <c r="E61" s="2" t="str">
        <f>IF($A61="","",SUMIF('All 5'!$A$7:$A$1006,$A61,'All 5'!E$7:E$1006))</f>
        <v/>
      </c>
      <c r="F61" s="2" t="str">
        <f>IF($A61="","",SUMIF('All 5'!$A$7:$A$1006,$A61,'All 5'!F$7:F$1006))</f>
        <v/>
      </c>
    </row>
    <row r="62" spans="1:6">
      <c r="A62" s="1" t="str" cm="1">
        <f t="array" ref="A62">IFERROR(IF(INDEX('All 5'!$A$7:$A$1006,MATCH(0,COUNTIF($A$1:A61,'All 5'!$A$7:$A$1006),0))=0,"",INDEX('All 5'!$A$7:$A$1006,MATCH(0,COUNTIF($A$1:A61,'All 5'!$A$7:$A$1006),0))),"")</f>
        <v/>
      </c>
      <c r="B62" s="2" t="str">
        <f>IF($A62="","",SUMIF('All 5'!$A$7:$A$1006,$A62,'All 5'!B$7:B$1006))</f>
        <v/>
      </c>
      <c r="C62" s="2" t="str">
        <f>IF($A62="","",SUMIF('All 5'!$A$7:$A$1006,$A62,'All 5'!C$7:C$1006))</f>
        <v/>
      </c>
      <c r="D62" s="2" t="str">
        <f>IF($A62="","",SUMIF('All 5'!$A$7:$A$1006,$A62,'All 5'!D$7:D$1006))</f>
        <v/>
      </c>
      <c r="E62" s="2" t="str">
        <f>IF($A62="","",SUMIF('All 5'!$A$7:$A$1006,$A62,'All 5'!E$7:E$1006))</f>
        <v/>
      </c>
      <c r="F62" s="2" t="str">
        <f>IF($A62="","",SUMIF('All 5'!$A$7:$A$1006,$A62,'All 5'!F$7:F$1006))</f>
        <v/>
      </c>
    </row>
    <row r="63" spans="1:6">
      <c r="A63" s="1" t="str" cm="1">
        <f t="array" ref="A63">IFERROR(IF(INDEX('All 5'!$A$7:$A$1006,MATCH(0,COUNTIF($A$1:A62,'All 5'!$A$7:$A$1006),0))=0,"",INDEX('All 5'!$A$7:$A$1006,MATCH(0,COUNTIF($A$1:A62,'All 5'!$A$7:$A$1006),0))),"")</f>
        <v/>
      </c>
      <c r="B63" s="2" t="str">
        <f>IF($A63="","",SUMIF('All 5'!$A$7:$A$1006,$A63,'All 5'!B$7:B$1006))</f>
        <v/>
      </c>
      <c r="C63" s="2" t="str">
        <f>IF($A63="","",SUMIF('All 5'!$A$7:$A$1006,$A63,'All 5'!C$7:C$1006))</f>
        <v/>
      </c>
      <c r="D63" s="2" t="str">
        <f>IF($A63="","",SUMIF('All 5'!$A$7:$A$1006,$A63,'All 5'!D$7:D$1006))</f>
        <v/>
      </c>
      <c r="E63" s="2" t="str">
        <f>IF($A63="","",SUMIF('All 5'!$A$7:$A$1006,$A63,'All 5'!E$7:E$1006))</f>
        <v/>
      </c>
      <c r="F63" s="2" t="str">
        <f>IF($A63="","",SUMIF('All 5'!$A$7:$A$1006,$A63,'All 5'!F$7:F$1006))</f>
        <v/>
      </c>
    </row>
    <row r="64" spans="1:6">
      <c r="A64" s="1" t="str" cm="1">
        <f t="array" ref="A64">IFERROR(IF(INDEX('All 5'!$A$7:$A$1006,MATCH(0,COUNTIF($A$1:A63,'All 5'!$A$7:$A$1006),0))=0,"",INDEX('All 5'!$A$7:$A$1006,MATCH(0,COUNTIF($A$1:A63,'All 5'!$A$7:$A$1006),0))),"")</f>
        <v/>
      </c>
      <c r="B64" s="2" t="str">
        <f>IF($A64="","",SUMIF('All 5'!$A$7:$A$1006,$A64,'All 5'!B$7:B$1006))</f>
        <v/>
      </c>
      <c r="C64" s="2" t="str">
        <f>IF($A64="","",SUMIF('All 5'!$A$7:$A$1006,$A64,'All 5'!C$7:C$1006))</f>
        <v/>
      </c>
      <c r="D64" s="2" t="str">
        <f>IF($A64="","",SUMIF('All 5'!$A$7:$A$1006,$A64,'All 5'!D$7:D$1006))</f>
        <v/>
      </c>
      <c r="E64" s="2" t="str">
        <f>IF($A64="","",SUMIF('All 5'!$A$7:$A$1006,$A64,'All 5'!E$7:E$1006))</f>
        <v/>
      </c>
      <c r="F64" s="2" t="str">
        <f>IF($A64="","",SUMIF('All 5'!$A$7:$A$1006,$A64,'All 5'!F$7:F$1006))</f>
        <v/>
      </c>
    </row>
    <row r="65" spans="1:6">
      <c r="A65" s="1" t="str" cm="1">
        <f t="array" ref="A65">IFERROR(IF(INDEX('All 5'!$A$7:$A$1006,MATCH(0,COUNTIF($A$1:A64,'All 5'!$A$7:$A$1006),0))=0,"",INDEX('All 5'!$A$7:$A$1006,MATCH(0,COUNTIF($A$1:A64,'All 5'!$A$7:$A$1006),0))),"")</f>
        <v/>
      </c>
      <c r="B65" s="2" t="str">
        <f>IF($A65="","",SUMIF('All 5'!$A$7:$A$1006,$A65,'All 5'!B$7:B$1006))</f>
        <v/>
      </c>
      <c r="C65" s="2" t="str">
        <f>IF($A65="","",SUMIF('All 5'!$A$7:$A$1006,$A65,'All 5'!C$7:C$1006))</f>
        <v/>
      </c>
      <c r="D65" s="2" t="str">
        <f>IF($A65="","",SUMIF('All 5'!$A$7:$A$1006,$A65,'All 5'!D$7:D$1006))</f>
        <v/>
      </c>
      <c r="E65" s="2" t="str">
        <f>IF($A65="","",SUMIF('All 5'!$A$7:$A$1006,$A65,'All 5'!E$7:E$1006))</f>
        <v/>
      </c>
      <c r="F65" s="2" t="str">
        <f>IF($A65="","",SUMIF('All 5'!$A$7:$A$1006,$A65,'All 5'!F$7:F$1006))</f>
        <v/>
      </c>
    </row>
    <row r="66" spans="1:6">
      <c r="A66" s="1" t="str" cm="1">
        <f t="array" ref="A66">IFERROR(IF(INDEX('All 5'!$A$7:$A$1006,MATCH(0,COUNTIF($A$1:A65,'All 5'!$A$7:$A$1006),0))=0,"",INDEX('All 5'!$A$7:$A$1006,MATCH(0,COUNTIF($A$1:A65,'All 5'!$A$7:$A$1006),0))),"")</f>
        <v/>
      </c>
      <c r="B66" s="2" t="str">
        <f>IF($A66="","",SUMIF('All 5'!$A$7:$A$1006,$A66,'All 5'!B$7:B$1006))</f>
        <v/>
      </c>
      <c r="C66" s="2" t="str">
        <f>IF($A66="","",SUMIF('All 5'!$A$7:$A$1006,$A66,'All 5'!C$7:C$1006))</f>
        <v/>
      </c>
      <c r="D66" s="2" t="str">
        <f>IF($A66="","",SUMIF('All 5'!$A$7:$A$1006,$A66,'All 5'!D$7:D$1006))</f>
        <v/>
      </c>
      <c r="E66" s="2" t="str">
        <f>IF($A66="","",SUMIF('All 5'!$A$7:$A$1006,$A66,'All 5'!E$7:E$1006))</f>
        <v/>
      </c>
      <c r="F66" s="2" t="str">
        <f>IF($A66="","",SUMIF('All 5'!$A$7:$A$1006,$A66,'All 5'!F$7:F$1006))</f>
        <v/>
      </c>
    </row>
    <row r="67" spans="1:6">
      <c r="A67" s="1" t="str" cm="1">
        <f t="array" ref="A67">IFERROR(IF(INDEX('All 5'!$A$7:$A$1006,MATCH(0,COUNTIF($A$1:A66,'All 5'!$A$7:$A$1006),0))=0,"",INDEX('All 5'!$A$7:$A$1006,MATCH(0,COUNTIF($A$1:A66,'All 5'!$A$7:$A$1006),0))),"")</f>
        <v/>
      </c>
      <c r="B67" s="2" t="str">
        <f>IF($A67="","",SUMIF('All 5'!$A$7:$A$1006,$A67,'All 5'!B$7:B$1006))</f>
        <v/>
      </c>
      <c r="C67" s="2" t="str">
        <f>IF($A67="","",SUMIF('All 5'!$A$7:$A$1006,$A67,'All 5'!C$7:C$1006))</f>
        <v/>
      </c>
      <c r="D67" s="2" t="str">
        <f>IF($A67="","",SUMIF('All 5'!$A$7:$A$1006,$A67,'All 5'!D$7:D$1006))</f>
        <v/>
      </c>
      <c r="E67" s="2" t="str">
        <f>IF($A67="","",SUMIF('All 5'!$A$7:$A$1006,$A67,'All 5'!E$7:E$1006))</f>
        <v/>
      </c>
      <c r="F67" s="2" t="str">
        <f>IF($A67="","",SUMIF('All 5'!$A$7:$A$1006,$A67,'All 5'!F$7:F$1006))</f>
        <v/>
      </c>
    </row>
    <row r="68" spans="1:6">
      <c r="A68" s="1" t="str" cm="1">
        <f t="array" ref="A68">IFERROR(IF(INDEX('All 5'!$A$7:$A$1006,MATCH(0,COUNTIF($A$1:A67,'All 5'!$A$7:$A$1006),0))=0,"",INDEX('All 5'!$A$7:$A$1006,MATCH(0,COUNTIF($A$1:A67,'All 5'!$A$7:$A$1006),0))),"")</f>
        <v/>
      </c>
      <c r="B68" s="2" t="str">
        <f>IF($A68="","",SUMIF('All 5'!$A$7:$A$1006,$A68,'All 5'!B$7:B$1006))</f>
        <v/>
      </c>
      <c r="C68" s="2" t="str">
        <f>IF($A68="","",SUMIF('All 5'!$A$7:$A$1006,$A68,'All 5'!C$7:C$1006))</f>
        <v/>
      </c>
      <c r="D68" s="2" t="str">
        <f>IF($A68="","",SUMIF('All 5'!$A$7:$A$1006,$A68,'All 5'!D$7:D$1006))</f>
        <v/>
      </c>
      <c r="E68" s="2" t="str">
        <f>IF($A68="","",SUMIF('All 5'!$A$7:$A$1006,$A68,'All 5'!E$7:E$1006))</f>
        <v/>
      </c>
      <c r="F68" s="2" t="str">
        <f>IF($A68="","",SUMIF('All 5'!$A$7:$A$1006,$A68,'All 5'!F$7:F$1006))</f>
        <v/>
      </c>
    </row>
    <row r="69" spans="1:6">
      <c r="A69" s="1" t="str" cm="1">
        <f t="array" ref="A69">IFERROR(IF(INDEX('All 5'!$A$7:$A$1006,MATCH(0,COUNTIF($A$1:A68,'All 5'!$A$7:$A$1006),0))=0,"",INDEX('All 5'!$A$7:$A$1006,MATCH(0,COUNTIF($A$1:A68,'All 5'!$A$7:$A$1006),0))),"")</f>
        <v/>
      </c>
      <c r="B69" s="2" t="str">
        <f>IF($A69="","",SUMIF('All 5'!$A$7:$A$1006,$A69,'All 5'!B$7:B$1006))</f>
        <v/>
      </c>
      <c r="C69" s="2" t="str">
        <f>IF($A69="","",SUMIF('All 5'!$A$7:$A$1006,$A69,'All 5'!C$7:C$1006))</f>
        <v/>
      </c>
      <c r="D69" s="2" t="str">
        <f>IF($A69="","",SUMIF('All 5'!$A$7:$A$1006,$A69,'All 5'!D$7:D$1006))</f>
        <v/>
      </c>
      <c r="E69" s="2" t="str">
        <f>IF($A69="","",SUMIF('All 5'!$A$7:$A$1006,$A69,'All 5'!E$7:E$1006))</f>
        <v/>
      </c>
      <c r="F69" s="2" t="str">
        <f>IF($A69="","",SUMIF('All 5'!$A$7:$A$1006,$A69,'All 5'!F$7:F$1006))</f>
        <v/>
      </c>
    </row>
    <row r="70" spans="1:6">
      <c r="A70" s="1" t="str" cm="1">
        <f t="array" ref="A70">IFERROR(IF(INDEX('All 5'!$A$7:$A$1006,MATCH(0,COUNTIF($A$1:A69,'All 5'!$A$7:$A$1006),0))=0,"",INDEX('All 5'!$A$7:$A$1006,MATCH(0,COUNTIF($A$1:A69,'All 5'!$A$7:$A$1006),0))),"")</f>
        <v/>
      </c>
      <c r="B70" s="2" t="str">
        <f>IF($A70="","",SUMIF('All 5'!$A$7:$A$1006,$A70,'All 5'!B$7:B$1006))</f>
        <v/>
      </c>
      <c r="C70" s="2" t="str">
        <f>IF($A70="","",SUMIF('All 5'!$A$7:$A$1006,$A70,'All 5'!C$7:C$1006))</f>
        <v/>
      </c>
      <c r="D70" s="2" t="str">
        <f>IF($A70="","",SUMIF('All 5'!$A$7:$A$1006,$A70,'All 5'!D$7:D$1006))</f>
        <v/>
      </c>
      <c r="E70" s="2" t="str">
        <f>IF($A70="","",SUMIF('All 5'!$A$7:$A$1006,$A70,'All 5'!E$7:E$1006))</f>
        <v/>
      </c>
      <c r="F70" s="2" t="str">
        <f>IF($A70="","",SUMIF('All 5'!$A$7:$A$1006,$A70,'All 5'!F$7:F$1006))</f>
        <v/>
      </c>
    </row>
    <row r="71" spans="1:6">
      <c r="A71" s="1" t="str" cm="1">
        <f t="array" ref="A71">IFERROR(IF(INDEX('All 5'!$A$7:$A$1006,MATCH(0,COUNTIF($A$1:A70,'All 5'!$A$7:$A$1006),0))=0,"",INDEX('All 5'!$A$7:$A$1006,MATCH(0,COUNTIF($A$1:A70,'All 5'!$A$7:$A$1006),0))),"")</f>
        <v/>
      </c>
      <c r="B71" s="2" t="str">
        <f>IF($A71="","",SUMIF('All 5'!$A$7:$A$1006,$A71,'All 5'!B$7:B$1006))</f>
        <v/>
      </c>
      <c r="C71" s="2" t="str">
        <f>IF($A71="","",SUMIF('All 5'!$A$7:$A$1006,$A71,'All 5'!C$7:C$1006))</f>
        <v/>
      </c>
      <c r="D71" s="2" t="str">
        <f>IF($A71="","",SUMIF('All 5'!$A$7:$A$1006,$A71,'All 5'!D$7:D$1006))</f>
        <v/>
      </c>
      <c r="E71" s="2" t="str">
        <f>IF($A71="","",SUMIF('All 5'!$A$7:$A$1006,$A71,'All 5'!E$7:E$1006))</f>
        <v/>
      </c>
      <c r="F71" s="2" t="str">
        <f>IF($A71="","",SUMIF('All 5'!$A$7:$A$1006,$A71,'All 5'!F$7:F$1006))</f>
        <v/>
      </c>
    </row>
    <row r="72" spans="1:6">
      <c r="A72" s="1" t="str" cm="1">
        <f t="array" ref="A72">IFERROR(IF(INDEX('All 5'!$A$7:$A$1006,MATCH(0,COUNTIF($A$1:A71,'All 5'!$A$7:$A$1006),0))=0,"",INDEX('All 5'!$A$7:$A$1006,MATCH(0,COUNTIF($A$1:A71,'All 5'!$A$7:$A$1006),0))),"")</f>
        <v/>
      </c>
      <c r="B72" s="2" t="str">
        <f>IF($A72="","",SUMIF('All 5'!$A$7:$A$1006,$A72,'All 5'!B$7:B$1006))</f>
        <v/>
      </c>
      <c r="C72" s="2" t="str">
        <f>IF($A72="","",SUMIF('All 5'!$A$7:$A$1006,$A72,'All 5'!C$7:C$1006))</f>
        <v/>
      </c>
      <c r="D72" s="2" t="str">
        <f>IF($A72="","",SUMIF('All 5'!$A$7:$A$1006,$A72,'All 5'!D$7:D$1006))</f>
        <v/>
      </c>
      <c r="E72" s="2" t="str">
        <f>IF($A72="","",SUMIF('All 5'!$A$7:$A$1006,$A72,'All 5'!E$7:E$1006))</f>
        <v/>
      </c>
      <c r="F72" s="2" t="str">
        <f>IF($A72="","",SUMIF('All 5'!$A$7:$A$1006,$A72,'All 5'!F$7:F$1006))</f>
        <v/>
      </c>
    </row>
    <row r="73" spans="1:6">
      <c r="A73" s="1" t="str" cm="1">
        <f t="array" ref="A73">IFERROR(IF(INDEX('All 5'!$A$7:$A$1006,MATCH(0,COUNTIF($A$1:A72,'All 5'!$A$7:$A$1006),0))=0,"",INDEX('All 5'!$A$7:$A$1006,MATCH(0,COUNTIF($A$1:A72,'All 5'!$A$7:$A$1006),0))),"")</f>
        <v/>
      </c>
      <c r="B73" s="2" t="str">
        <f>IF($A73="","",SUMIF('All 5'!$A$7:$A$1006,$A73,'All 5'!B$7:B$1006))</f>
        <v/>
      </c>
      <c r="C73" s="2" t="str">
        <f>IF($A73="","",SUMIF('All 5'!$A$7:$A$1006,$A73,'All 5'!C$7:C$1006))</f>
        <v/>
      </c>
      <c r="D73" s="2" t="str">
        <f>IF($A73="","",SUMIF('All 5'!$A$7:$A$1006,$A73,'All 5'!D$7:D$1006))</f>
        <v/>
      </c>
      <c r="E73" s="2" t="str">
        <f>IF($A73="","",SUMIF('All 5'!$A$7:$A$1006,$A73,'All 5'!E$7:E$1006))</f>
        <v/>
      </c>
      <c r="F73" s="2" t="str">
        <f>IF($A73="","",SUMIF('All 5'!$A$7:$A$1006,$A73,'All 5'!F$7:F$1006))</f>
        <v/>
      </c>
    </row>
    <row r="74" spans="1:6">
      <c r="A74" s="1" t="str" cm="1">
        <f t="array" ref="A74">IFERROR(IF(INDEX('All 5'!$A$7:$A$1006,MATCH(0,COUNTIF($A$1:A73,'All 5'!$A$7:$A$1006),0))=0,"",INDEX('All 5'!$A$7:$A$1006,MATCH(0,COUNTIF($A$1:A73,'All 5'!$A$7:$A$1006),0))),"")</f>
        <v/>
      </c>
      <c r="B74" s="2" t="str">
        <f>IF($A74="","",SUMIF('All 5'!$A$7:$A$1006,$A74,'All 5'!B$7:B$1006))</f>
        <v/>
      </c>
      <c r="C74" s="2" t="str">
        <f>IF($A74="","",SUMIF('All 5'!$A$7:$A$1006,$A74,'All 5'!C$7:C$1006))</f>
        <v/>
      </c>
      <c r="D74" s="2" t="str">
        <f>IF($A74="","",SUMIF('All 5'!$A$7:$A$1006,$A74,'All 5'!D$7:D$1006))</f>
        <v/>
      </c>
      <c r="E74" s="2" t="str">
        <f>IF($A74="","",SUMIF('All 5'!$A$7:$A$1006,$A74,'All 5'!E$7:E$1006))</f>
        <v/>
      </c>
      <c r="F74" s="2" t="str">
        <f>IF($A74="","",SUMIF('All 5'!$A$7:$A$1006,$A74,'All 5'!F$7:F$1006))</f>
        <v/>
      </c>
    </row>
    <row r="75" spans="1:6">
      <c r="A75" s="1" t="str" cm="1">
        <f t="array" ref="A75">IFERROR(IF(INDEX('All 5'!$A$7:$A$1006,MATCH(0,COUNTIF($A$1:A74,'All 5'!$A$7:$A$1006),0))=0,"",INDEX('All 5'!$A$7:$A$1006,MATCH(0,COUNTIF($A$1:A74,'All 5'!$A$7:$A$1006),0))),"")</f>
        <v/>
      </c>
      <c r="B75" s="2" t="str">
        <f>IF($A75="","",SUMIF('All 5'!$A$7:$A$1006,$A75,'All 5'!B$7:B$1006))</f>
        <v/>
      </c>
      <c r="C75" s="2" t="str">
        <f>IF($A75="","",SUMIF('All 5'!$A$7:$A$1006,$A75,'All 5'!C$7:C$1006))</f>
        <v/>
      </c>
      <c r="D75" s="2" t="str">
        <f>IF($A75="","",SUMIF('All 5'!$A$7:$A$1006,$A75,'All 5'!D$7:D$1006))</f>
        <v/>
      </c>
      <c r="E75" s="2" t="str">
        <f>IF($A75="","",SUMIF('All 5'!$A$7:$A$1006,$A75,'All 5'!E$7:E$1006))</f>
        <v/>
      </c>
      <c r="F75" s="2" t="str">
        <f>IF($A75="","",SUMIF('All 5'!$A$7:$A$1006,$A75,'All 5'!F$7:F$1006))</f>
        <v/>
      </c>
    </row>
    <row r="76" spans="1:6">
      <c r="A76" s="1" t="str" cm="1">
        <f t="array" ref="A76">IFERROR(IF(INDEX('All 5'!$A$7:$A$1006,MATCH(0,COUNTIF($A$1:A75,'All 5'!$A$7:$A$1006),0))=0,"",INDEX('All 5'!$A$7:$A$1006,MATCH(0,COUNTIF($A$1:A75,'All 5'!$A$7:$A$1006),0))),"")</f>
        <v/>
      </c>
      <c r="B76" s="2" t="str">
        <f>IF($A76="","",SUMIF('All 5'!$A$7:$A$1006,$A76,'All 5'!B$7:B$1006))</f>
        <v/>
      </c>
      <c r="C76" s="2" t="str">
        <f>IF($A76="","",SUMIF('All 5'!$A$7:$A$1006,$A76,'All 5'!C$7:C$1006))</f>
        <v/>
      </c>
      <c r="D76" s="2" t="str">
        <f>IF($A76="","",SUMIF('All 5'!$A$7:$A$1006,$A76,'All 5'!D$7:D$1006))</f>
        <v/>
      </c>
      <c r="E76" s="2" t="str">
        <f>IF($A76="","",SUMIF('All 5'!$A$7:$A$1006,$A76,'All 5'!E$7:E$1006))</f>
        <v/>
      </c>
      <c r="F76" s="2" t="str">
        <f>IF($A76="","",SUMIF('All 5'!$A$7:$A$1006,$A76,'All 5'!F$7:F$1006))</f>
        <v/>
      </c>
    </row>
    <row r="77" spans="1:6">
      <c r="A77" s="1" t="str" cm="1">
        <f t="array" ref="A77">IFERROR(IF(INDEX('All 5'!$A$7:$A$1006,MATCH(0,COUNTIF($A$1:A76,'All 5'!$A$7:$A$1006),0))=0,"",INDEX('All 5'!$A$7:$A$1006,MATCH(0,COUNTIF($A$1:A76,'All 5'!$A$7:$A$1006),0))),"")</f>
        <v/>
      </c>
      <c r="B77" s="2" t="str">
        <f>IF($A77="","",SUMIF('All 5'!$A$7:$A$1006,$A77,'All 5'!B$7:B$1006))</f>
        <v/>
      </c>
      <c r="C77" s="2" t="str">
        <f>IF($A77="","",SUMIF('All 5'!$A$7:$A$1006,$A77,'All 5'!C$7:C$1006))</f>
        <v/>
      </c>
      <c r="D77" s="2" t="str">
        <f>IF($A77="","",SUMIF('All 5'!$A$7:$A$1006,$A77,'All 5'!D$7:D$1006))</f>
        <v/>
      </c>
      <c r="E77" s="2" t="str">
        <f>IF($A77="","",SUMIF('All 5'!$A$7:$A$1006,$A77,'All 5'!E$7:E$1006))</f>
        <v/>
      </c>
      <c r="F77" s="2" t="str">
        <f>IF($A77="","",SUMIF('All 5'!$A$7:$A$1006,$A77,'All 5'!F$7:F$1006))</f>
        <v/>
      </c>
    </row>
    <row r="78" spans="1:6">
      <c r="A78" s="1" t="str" cm="1">
        <f t="array" ref="A78">IFERROR(IF(INDEX('All 5'!$A$7:$A$1006,MATCH(0,COUNTIF($A$1:A77,'All 5'!$A$7:$A$1006),0))=0,"",INDEX('All 5'!$A$7:$A$1006,MATCH(0,COUNTIF($A$1:A77,'All 5'!$A$7:$A$1006),0))),"")</f>
        <v/>
      </c>
      <c r="B78" s="2" t="str">
        <f>IF($A78="","",SUMIF('All 5'!$A$7:$A$1006,$A78,'All 5'!B$7:B$1006))</f>
        <v/>
      </c>
      <c r="C78" s="2" t="str">
        <f>IF($A78="","",SUMIF('All 5'!$A$7:$A$1006,$A78,'All 5'!C$7:C$1006))</f>
        <v/>
      </c>
      <c r="D78" s="2" t="str">
        <f>IF($A78="","",SUMIF('All 5'!$A$7:$A$1006,$A78,'All 5'!D$7:D$1006))</f>
        <v/>
      </c>
      <c r="E78" s="2" t="str">
        <f>IF($A78="","",SUMIF('All 5'!$A$7:$A$1006,$A78,'All 5'!E$7:E$1006))</f>
        <v/>
      </c>
      <c r="F78" s="2" t="str">
        <f>IF($A78="","",SUMIF('All 5'!$A$7:$A$1006,$A78,'All 5'!F$7:F$1006))</f>
        <v/>
      </c>
    </row>
    <row r="79" spans="1:6">
      <c r="A79" s="1" t="str" cm="1">
        <f t="array" ref="A79">IFERROR(IF(INDEX('All 5'!$A$7:$A$1006,MATCH(0,COUNTIF($A$1:A78,'All 5'!$A$7:$A$1006),0))=0,"",INDEX('All 5'!$A$7:$A$1006,MATCH(0,COUNTIF($A$1:A78,'All 5'!$A$7:$A$1006),0))),"")</f>
        <v/>
      </c>
      <c r="B79" s="2" t="str">
        <f>IF($A79="","",SUMIF('All 5'!$A$7:$A$1006,$A79,'All 5'!B$7:B$1006))</f>
        <v/>
      </c>
      <c r="C79" s="2" t="str">
        <f>IF($A79="","",SUMIF('All 5'!$A$7:$A$1006,$A79,'All 5'!C$7:C$1006))</f>
        <v/>
      </c>
      <c r="D79" s="2" t="str">
        <f>IF($A79="","",SUMIF('All 5'!$A$7:$A$1006,$A79,'All 5'!D$7:D$1006))</f>
        <v/>
      </c>
      <c r="E79" s="2" t="str">
        <f>IF($A79="","",SUMIF('All 5'!$A$7:$A$1006,$A79,'All 5'!E$7:E$1006))</f>
        <v/>
      </c>
      <c r="F79" s="2" t="str">
        <f>IF($A79="","",SUMIF('All 5'!$A$7:$A$1006,$A79,'All 5'!F$7:F$1006))</f>
        <v/>
      </c>
    </row>
    <row r="80" spans="1:6">
      <c r="A80" s="1" t="str" cm="1">
        <f t="array" ref="A80">IFERROR(IF(INDEX('All 5'!$A$7:$A$1006,MATCH(0,COUNTIF($A$1:A79,'All 5'!$A$7:$A$1006),0))=0,"",INDEX('All 5'!$A$7:$A$1006,MATCH(0,COUNTIF($A$1:A79,'All 5'!$A$7:$A$1006),0))),"")</f>
        <v/>
      </c>
      <c r="B80" s="2" t="str">
        <f>IF($A80="","",SUMIF('All 5'!$A$7:$A$1006,$A80,'All 5'!B$7:B$1006))</f>
        <v/>
      </c>
      <c r="C80" s="2" t="str">
        <f>IF($A80="","",SUMIF('All 5'!$A$7:$A$1006,$A80,'All 5'!C$7:C$1006))</f>
        <v/>
      </c>
      <c r="D80" s="2" t="str">
        <f>IF($A80="","",SUMIF('All 5'!$A$7:$A$1006,$A80,'All 5'!D$7:D$1006))</f>
        <v/>
      </c>
      <c r="E80" s="2" t="str">
        <f>IF($A80="","",SUMIF('All 5'!$A$7:$A$1006,$A80,'All 5'!E$7:E$1006))</f>
        <v/>
      </c>
      <c r="F80" s="2" t="str">
        <f>IF($A80="","",SUMIF('All 5'!$A$7:$A$1006,$A80,'All 5'!F$7:F$1006))</f>
        <v/>
      </c>
    </row>
    <row r="81" spans="1:6">
      <c r="A81" s="1" t="str" cm="1">
        <f t="array" ref="A81">IFERROR(IF(INDEX('All 5'!$A$7:$A$1006,MATCH(0,COUNTIF($A$1:A80,'All 5'!$A$7:$A$1006),0))=0,"",INDEX('All 5'!$A$7:$A$1006,MATCH(0,COUNTIF($A$1:A80,'All 5'!$A$7:$A$1006),0))),"")</f>
        <v/>
      </c>
      <c r="B81" s="2" t="str">
        <f>IF($A81="","",SUMIF('All 5'!$A$7:$A$1006,$A81,'All 5'!B$7:B$1006))</f>
        <v/>
      </c>
      <c r="C81" s="2" t="str">
        <f>IF($A81="","",SUMIF('All 5'!$A$7:$A$1006,$A81,'All 5'!C$7:C$1006))</f>
        <v/>
      </c>
      <c r="D81" s="2" t="str">
        <f>IF($A81="","",SUMIF('All 5'!$A$7:$A$1006,$A81,'All 5'!D$7:D$1006))</f>
        <v/>
      </c>
      <c r="E81" s="2" t="str">
        <f>IF($A81="","",SUMIF('All 5'!$A$7:$A$1006,$A81,'All 5'!E$7:E$1006))</f>
        <v/>
      </c>
      <c r="F81" s="2" t="str">
        <f>IF($A81="","",SUMIF('All 5'!$A$7:$A$1006,$A81,'All 5'!F$7:F$1006))</f>
        <v/>
      </c>
    </row>
    <row r="82" spans="1:6">
      <c r="A82" s="1" t="str" cm="1">
        <f t="array" ref="A82">IFERROR(IF(INDEX('All 5'!$A$7:$A$1006,MATCH(0,COUNTIF($A$1:A81,'All 5'!$A$7:$A$1006),0))=0,"",INDEX('All 5'!$A$7:$A$1006,MATCH(0,COUNTIF($A$1:A81,'All 5'!$A$7:$A$1006),0))),"")</f>
        <v/>
      </c>
      <c r="B82" s="2" t="str">
        <f>IF($A82="","",SUMIF('All 5'!$A$7:$A$1006,$A82,'All 5'!B$7:B$1006))</f>
        <v/>
      </c>
      <c r="C82" s="2" t="str">
        <f>IF($A82="","",SUMIF('All 5'!$A$7:$A$1006,$A82,'All 5'!C$7:C$1006))</f>
        <v/>
      </c>
      <c r="D82" s="2" t="str">
        <f>IF($A82="","",SUMIF('All 5'!$A$7:$A$1006,$A82,'All 5'!D$7:D$1006))</f>
        <v/>
      </c>
      <c r="E82" s="2" t="str">
        <f>IF($A82="","",SUMIF('All 5'!$A$7:$A$1006,$A82,'All 5'!E$7:E$1006))</f>
        <v/>
      </c>
      <c r="F82" s="2" t="str">
        <f>IF($A82="","",SUMIF('All 5'!$A$7:$A$1006,$A82,'All 5'!F$7:F$1006))</f>
        <v/>
      </c>
    </row>
    <row r="83" spans="1:6">
      <c r="A83" s="1" t="str" cm="1">
        <f t="array" ref="A83">IFERROR(IF(INDEX('All 5'!$A$7:$A$1006,MATCH(0,COUNTIF($A$1:A82,'All 5'!$A$7:$A$1006),0))=0,"",INDEX('All 5'!$A$7:$A$1006,MATCH(0,COUNTIF($A$1:A82,'All 5'!$A$7:$A$1006),0))),"")</f>
        <v/>
      </c>
      <c r="B83" s="2" t="str">
        <f>IF($A83="","",SUMIF('All 5'!$A$7:$A$1006,$A83,'All 5'!B$7:B$1006))</f>
        <v/>
      </c>
      <c r="C83" s="2" t="str">
        <f>IF($A83="","",SUMIF('All 5'!$A$7:$A$1006,$A83,'All 5'!C$7:C$1006))</f>
        <v/>
      </c>
      <c r="D83" s="2" t="str">
        <f>IF($A83="","",SUMIF('All 5'!$A$7:$A$1006,$A83,'All 5'!D$7:D$1006))</f>
        <v/>
      </c>
      <c r="E83" s="2" t="str">
        <f>IF($A83="","",SUMIF('All 5'!$A$7:$A$1006,$A83,'All 5'!E$7:E$1006))</f>
        <v/>
      </c>
      <c r="F83" s="2" t="str">
        <f>IF($A83="","",SUMIF('All 5'!$A$7:$A$1006,$A83,'All 5'!F$7:F$1006))</f>
        <v/>
      </c>
    </row>
    <row r="84" spans="1:6">
      <c r="A84" s="1" t="str" cm="1">
        <f t="array" ref="A84">IFERROR(IF(INDEX('All 5'!$A$7:$A$1006,MATCH(0,COUNTIF($A$1:A83,'All 5'!$A$7:$A$1006),0))=0,"",INDEX('All 5'!$A$7:$A$1006,MATCH(0,COUNTIF($A$1:A83,'All 5'!$A$7:$A$1006),0))),"")</f>
        <v/>
      </c>
      <c r="B84" s="2" t="str">
        <f>IF($A84="","",SUMIF('All 5'!$A$7:$A$1006,$A84,'All 5'!B$7:B$1006))</f>
        <v/>
      </c>
      <c r="C84" s="2" t="str">
        <f>IF($A84="","",SUMIF('All 5'!$A$7:$A$1006,$A84,'All 5'!C$7:C$1006))</f>
        <v/>
      </c>
      <c r="D84" s="2" t="str">
        <f>IF($A84="","",SUMIF('All 5'!$A$7:$A$1006,$A84,'All 5'!D$7:D$1006))</f>
        <v/>
      </c>
      <c r="E84" s="2" t="str">
        <f>IF($A84="","",SUMIF('All 5'!$A$7:$A$1006,$A84,'All 5'!E$7:E$1006))</f>
        <v/>
      </c>
      <c r="F84" s="2" t="str">
        <f>IF($A84="","",SUMIF('All 5'!$A$7:$A$1006,$A84,'All 5'!F$7:F$1006))</f>
        <v/>
      </c>
    </row>
    <row r="85" spans="1:6">
      <c r="A85" s="1" t="str" cm="1">
        <f t="array" ref="A85">IFERROR(IF(INDEX('All 5'!$A$7:$A$1006,MATCH(0,COUNTIF($A$1:A84,'All 5'!$A$7:$A$1006),0))=0,"",INDEX('All 5'!$A$7:$A$1006,MATCH(0,COUNTIF($A$1:A84,'All 5'!$A$7:$A$1006),0))),"")</f>
        <v/>
      </c>
      <c r="B85" s="2" t="str">
        <f>IF($A85="","",SUMIF('All 5'!$A$7:$A$1006,$A85,'All 5'!B$7:B$1006))</f>
        <v/>
      </c>
      <c r="C85" s="2" t="str">
        <f>IF($A85="","",SUMIF('All 5'!$A$7:$A$1006,$A85,'All 5'!C$7:C$1006))</f>
        <v/>
      </c>
      <c r="D85" s="2" t="str">
        <f>IF($A85="","",SUMIF('All 5'!$A$7:$A$1006,$A85,'All 5'!D$7:D$1006))</f>
        <v/>
      </c>
      <c r="E85" s="2" t="str">
        <f>IF($A85="","",SUMIF('All 5'!$A$7:$A$1006,$A85,'All 5'!E$7:E$1006))</f>
        <v/>
      </c>
      <c r="F85" s="2" t="str">
        <f>IF($A85="","",SUMIF('All 5'!$A$7:$A$1006,$A85,'All 5'!F$7:F$1006))</f>
        <v/>
      </c>
    </row>
    <row r="86" spans="1:6">
      <c r="A86" s="1" t="str" cm="1">
        <f t="array" ref="A86">IFERROR(IF(INDEX('All 5'!$A$7:$A$1006,MATCH(0,COUNTIF($A$1:A85,'All 5'!$A$7:$A$1006),0))=0,"",INDEX('All 5'!$A$7:$A$1006,MATCH(0,COUNTIF($A$1:A85,'All 5'!$A$7:$A$1006),0))),"")</f>
        <v/>
      </c>
      <c r="B86" s="2" t="str">
        <f>IF($A86="","",SUMIF('All 5'!$A$7:$A$1006,$A86,'All 5'!B$7:B$1006))</f>
        <v/>
      </c>
      <c r="C86" s="2" t="str">
        <f>IF($A86="","",SUMIF('All 5'!$A$7:$A$1006,$A86,'All 5'!C$7:C$1006))</f>
        <v/>
      </c>
      <c r="D86" s="2" t="str">
        <f>IF($A86="","",SUMIF('All 5'!$A$7:$A$1006,$A86,'All 5'!D$7:D$1006))</f>
        <v/>
      </c>
      <c r="E86" s="2" t="str">
        <f>IF($A86="","",SUMIF('All 5'!$A$7:$A$1006,$A86,'All 5'!E$7:E$1006))</f>
        <v/>
      </c>
      <c r="F86" s="2" t="str">
        <f>IF($A86="","",SUMIF('All 5'!$A$7:$A$1006,$A86,'All 5'!F$7:F$1006))</f>
        <v/>
      </c>
    </row>
    <row r="87" spans="1:6">
      <c r="A87" s="1" t="str" cm="1">
        <f t="array" ref="A87">IFERROR(IF(INDEX('All 5'!$A$7:$A$1006,MATCH(0,COUNTIF($A$1:A86,'All 5'!$A$7:$A$1006),0))=0,"",INDEX('All 5'!$A$7:$A$1006,MATCH(0,COUNTIF($A$1:A86,'All 5'!$A$7:$A$1006),0))),"")</f>
        <v/>
      </c>
      <c r="B87" s="2" t="str">
        <f>IF($A87="","",SUMIF('All 5'!$A$7:$A$1006,$A87,'All 5'!B$7:B$1006))</f>
        <v/>
      </c>
      <c r="C87" s="2" t="str">
        <f>IF($A87="","",SUMIF('All 5'!$A$7:$A$1006,$A87,'All 5'!C$7:C$1006))</f>
        <v/>
      </c>
      <c r="D87" s="2" t="str">
        <f>IF($A87="","",SUMIF('All 5'!$A$7:$A$1006,$A87,'All 5'!D$7:D$1006))</f>
        <v/>
      </c>
      <c r="E87" s="2" t="str">
        <f>IF($A87="","",SUMIF('All 5'!$A$7:$A$1006,$A87,'All 5'!E$7:E$1006))</f>
        <v/>
      </c>
      <c r="F87" s="2" t="str">
        <f>IF($A87="","",SUMIF('All 5'!$A$7:$A$1006,$A87,'All 5'!F$7:F$1006))</f>
        <v/>
      </c>
    </row>
    <row r="88" spans="1:6">
      <c r="A88" s="1" t="str" cm="1">
        <f t="array" ref="A88">IFERROR(IF(INDEX('All 5'!$A$7:$A$1006,MATCH(0,COUNTIF($A$1:A87,'All 5'!$A$7:$A$1006),0))=0,"",INDEX('All 5'!$A$7:$A$1006,MATCH(0,COUNTIF($A$1:A87,'All 5'!$A$7:$A$1006),0))),"")</f>
        <v/>
      </c>
      <c r="B88" s="2" t="str">
        <f>IF($A88="","",SUMIF('All 5'!$A$7:$A$1006,$A88,'All 5'!B$7:B$1006))</f>
        <v/>
      </c>
      <c r="C88" s="2" t="str">
        <f>IF($A88="","",SUMIF('All 5'!$A$7:$A$1006,$A88,'All 5'!C$7:C$1006))</f>
        <v/>
      </c>
      <c r="D88" s="2" t="str">
        <f>IF($A88="","",SUMIF('All 5'!$A$7:$A$1006,$A88,'All 5'!D$7:D$1006))</f>
        <v/>
      </c>
      <c r="E88" s="2" t="str">
        <f>IF($A88="","",SUMIF('All 5'!$A$7:$A$1006,$A88,'All 5'!E$7:E$1006))</f>
        <v/>
      </c>
      <c r="F88" s="2" t="str">
        <f>IF($A88="","",SUMIF('All 5'!$A$7:$A$1006,$A88,'All 5'!F$7:F$1006))</f>
        <v/>
      </c>
    </row>
    <row r="89" spans="1:6">
      <c r="A89" s="1" t="str" cm="1">
        <f t="array" ref="A89">IFERROR(IF(INDEX('All 5'!$A$7:$A$1006,MATCH(0,COUNTIF($A$1:A88,'All 5'!$A$7:$A$1006),0))=0,"",INDEX('All 5'!$A$7:$A$1006,MATCH(0,COUNTIF($A$1:A88,'All 5'!$A$7:$A$1006),0))),"")</f>
        <v/>
      </c>
      <c r="B89" s="2" t="str">
        <f>IF($A89="","",SUMIF('All 5'!$A$7:$A$1006,$A89,'All 5'!B$7:B$1006))</f>
        <v/>
      </c>
      <c r="C89" s="2" t="str">
        <f>IF($A89="","",SUMIF('All 5'!$A$7:$A$1006,$A89,'All 5'!C$7:C$1006))</f>
        <v/>
      </c>
      <c r="D89" s="2" t="str">
        <f>IF($A89="","",SUMIF('All 5'!$A$7:$A$1006,$A89,'All 5'!D$7:D$1006))</f>
        <v/>
      </c>
      <c r="E89" s="2" t="str">
        <f>IF($A89="","",SUMIF('All 5'!$A$7:$A$1006,$A89,'All 5'!E$7:E$1006))</f>
        <v/>
      </c>
      <c r="F89" s="2" t="str">
        <f>IF($A89="","",SUMIF('All 5'!$A$7:$A$1006,$A89,'All 5'!F$7:F$1006))</f>
        <v/>
      </c>
    </row>
    <row r="90" spans="1:6">
      <c r="A90" s="1" t="str" cm="1">
        <f t="array" ref="A90">IFERROR(IF(INDEX('All 5'!$A$7:$A$1006,MATCH(0,COUNTIF($A$1:A89,'All 5'!$A$7:$A$1006),0))=0,"",INDEX('All 5'!$A$7:$A$1006,MATCH(0,COUNTIF($A$1:A89,'All 5'!$A$7:$A$1006),0))),"")</f>
        <v/>
      </c>
      <c r="B90" s="2" t="str">
        <f>IF($A90="","",SUMIF('All 5'!$A$7:$A$1006,$A90,'All 5'!B$7:B$1006))</f>
        <v/>
      </c>
      <c r="C90" s="2" t="str">
        <f>IF($A90="","",SUMIF('All 5'!$A$7:$A$1006,$A90,'All 5'!C$7:C$1006))</f>
        <v/>
      </c>
      <c r="D90" s="2" t="str">
        <f>IF($A90="","",SUMIF('All 5'!$A$7:$A$1006,$A90,'All 5'!D$7:D$1006))</f>
        <v/>
      </c>
      <c r="E90" s="2" t="str">
        <f>IF($A90="","",SUMIF('All 5'!$A$7:$A$1006,$A90,'All 5'!E$7:E$1006))</f>
        <v/>
      </c>
      <c r="F90" s="2" t="str">
        <f>IF($A90="","",SUMIF('All 5'!$A$7:$A$1006,$A90,'All 5'!F$7:F$1006))</f>
        <v/>
      </c>
    </row>
    <row r="91" spans="1:6">
      <c r="A91" s="1" t="str" cm="1">
        <f t="array" ref="A91">IFERROR(IF(INDEX('All 5'!$A$7:$A$1006,MATCH(0,COUNTIF($A$1:A90,'All 5'!$A$7:$A$1006),0))=0,"",INDEX('All 5'!$A$7:$A$1006,MATCH(0,COUNTIF($A$1:A90,'All 5'!$A$7:$A$1006),0))),"")</f>
        <v/>
      </c>
      <c r="B91" s="2" t="str">
        <f>IF($A91="","",SUMIF('All 5'!$A$7:$A$1006,$A91,'All 5'!B$7:B$1006))</f>
        <v/>
      </c>
      <c r="C91" s="2" t="str">
        <f>IF($A91="","",SUMIF('All 5'!$A$7:$A$1006,$A91,'All 5'!C$7:C$1006))</f>
        <v/>
      </c>
      <c r="D91" s="2" t="str">
        <f>IF($A91="","",SUMIF('All 5'!$A$7:$A$1006,$A91,'All 5'!D$7:D$1006))</f>
        <v/>
      </c>
      <c r="E91" s="2" t="str">
        <f>IF($A91="","",SUMIF('All 5'!$A$7:$A$1006,$A91,'All 5'!E$7:E$1006))</f>
        <v/>
      </c>
      <c r="F91" s="2" t="str">
        <f>IF($A91="","",SUMIF('All 5'!$A$7:$A$1006,$A91,'All 5'!F$7:F$1006))</f>
        <v/>
      </c>
    </row>
    <row r="92" spans="1:6">
      <c r="A92" s="1" t="str" cm="1">
        <f t="array" ref="A92">IFERROR(IF(INDEX('All 5'!$A$7:$A$1006,MATCH(0,COUNTIF($A$1:A91,'All 5'!$A$7:$A$1006),0))=0,"",INDEX('All 5'!$A$7:$A$1006,MATCH(0,COUNTIF($A$1:A91,'All 5'!$A$7:$A$1006),0))),"")</f>
        <v/>
      </c>
      <c r="B92" s="2" t="str">
        <f>IF($A92="","",SUMIF('All 5'!$A$7:$A$1006,$A92,'All 5'!B$7:B$1006))</f>
        <v/>
      </c>
      <c r="C92" s="2" t="str">
        <f>IF($A92="","",SUMIF('All 5'!$A$7:$A$1006,$A92,'All 5'!C$7:C$1006))</f>
        <v/>
      </c>
      <c r="D92" s="2" t="str">
        <f>IF($A92="","",SUMIF('All 5'!$A$7:$A$1006,$A92,'All 5'!D$7:D$1006))</f>
        <v/>
      </c>
      <c r="E92" s="2" t="str">
        <f>IF($A92="","",SUMIF('All 5'!$A$7:$A$1006,$A92,'All 5'!E$7:E$1006))</f>
        <v/>
      </c>
      <c r="F92" s="2" t="str">
        <f>IF($A92="","",SUMIF('All 5'!$A$7:$A$1006,$A92,'All 5'!F$7:F$1006))</f>
        <v/>
      </c>
    </row>
    <row r="93" spans="1:6">
      <c r="A93" s="1" t="str" cm="1">
        <f t="array" ref="A93">IFERROR(IF(INDEX('All 5'!$A$7:$A$1006,MATCH(0,COUNTIF($A$1:A92,'All 5'!$A$7:$A$1006),0))=0,"",INDEX('All 5'!$A$7:$A$1006,MATCH(0,COUNTIF($A$1:A92,'All 5'!$A$7:$A$1006),0))),"")</f>
        <v/>
      </c>
      <c r="B93" s="2" t="str">
        <f>IF($A93="","",SUMIF('All 5'!$A$7:$A$1006,$A93,'All 5'!B$7:B$1006))</f>
        <v/>
      </c>
      <c r="C93" s="2" t="str">
        <f>IF($A93="","",SUMIF('All 5'!$A$7:$A$1006,$A93,'All 5'!C$7:C$1006))</f>
        <v/>
      </c>
      <c r="D93" s="2" t="str">
        <f>IF($A93="","",SUMIF('All 5'!$A$7:$A$1006,$A93,'All 5'!D$7:D$1006))</f>
        <v/>
      </c>
      <c r="E93" s="2" t="str">
        <f>IF($A93="","",SUMIF('All 5'!$A$7:$A$1006,$A93,'All 5'!E$7:E$1006))</f>
        <v/>
      </c>
      <c r="F93" s="2" t="str">
        <f>IF($A93="","",SUMIF('All 5'!$A$7:$A$1006,$A93,'All 5'!F$7:F$1006))</f>
        <v/>
      </c>
    </row>
    <row r="94" spans="1:6">
      <c r="A94" s="1" t="str" cm="1">
        <f t="array" ref="A94">IFERROR(IF(INDEX('All 5'!$A$7:$A$1006,MATCH(0,COUNTIF($A$1:A93,'All 5'!$A$7:$A$1006),0))=0,"",INDEX('All 5'!$A$7:$A$1006,MATCH(0,COUNTIF($A$1:A93,'All 5'!$A$7:$A$1006),0))),"")</f>
        <v/>
      </c>
      <c r="B94" s="2" t="str">
        <f>IF($A94="","",SUMIF('All 5'!$A$7:$A$1006,$A94,'All 5'!B$7:B$1006))</f>
        <v/>
      </c>
      <c r="C94" s="2" t="str">
        <f>IF($A94="","",SUMIF('All 5'!$A$7:$A$1006,$A94,'All 5'!C$7:C$1006))</f>
        <v/>
      </c>
      <c r="D94" s="2" t="str">
        <f>IF($A94="","",SUMIF('All 5'!$A$7:$A$1006,$A94,'All 5'!D$7:D$1006))</f>
        <v/>
      </c>
      <c r="E94" s="2" t="str">
        <f>IF($A94="","",SUMIF('All 5'!$A$7:$A$1006,$A94,'All 5'!E$7:E$1006))</f>
        <v/>
      </c>
      <c r="F94" s="2" t="str">
        <f>IF($A94="","",SUMIF('All 5'!$A$7:$A$1006,$A94,'All 5'!F$7:F$1006))</f>
        <v/>
      </c>
    </row>
    <row r="95" spans="1:6">
      <c r="A95" s="1" t="str" cm="1">
        <f t="array" ref="A95">IFERROR(IF(INDEX('All 5'!$A$7:$A$1006,MATCH(0,COUNTIF($A$1:A94,'All 5'!$A$7:$A$1006),0))=0,"",INDEX('All 5'!$A$7:$A$1006,MATCH(0,COUNTIF($A$1:A94,'All 5'!$A$7:$A$1006),0))),"")</f>
        <v/>
      </c>
      <c r="B95" s="2" t="str">
        <f>IF($A95="","",SUMIF('All 5'!$A$7:$A$1006,$A95,'All 5'!B$7:B$1006))</f>
        <v/>
      </c>
      <c r="C95" s="2" t="str">
        <f>IF($A95="","",SUMIF('All 5'!$A$7:$A$1006,$A95,'All 5'!C$7:C$1006))</f>
        <v/>
      </c>
      <c r="D95" s="2" t="str">
        <f>IF($A95="","",SUMIF('All 5'!$A$7:$A$1006,$A95,'All 5'!D$7:D$1006))</f>
        <v/>
      </c>
      <c r="E95" s="2" t="str">
        <f>IF($A95="","",SUMIF('All 5'!$A$7:$A$1006,$A95,'All 5'!E$7:E$1006))</f>
        <v/>
      </c>
      <c r="F95" s="2" t="str">
        <f>IF($A95="","",SUMIF('All 5'!$A$7:$A$1006,$A95,'All 5'!F$7:F$1006))</f>
        <v/>
      </c>
    </row>
    <row r="96" spans="1:6">
      <c r="A96" s="1" t="str" cm="1">
        <f t="array" ref="A96">IFERROR(IF(INDEX('All 5'!$A$7:$A$1006,MATCH(0,COUNTIF($A$1:A95,'All 5'!$A$7:$A$1006),0))=0,"",INDEX('All 5'!$A$7:$A$1006,MATCH(0,COUNTIF($A$1:A95,'All 5'!$A$7:$A$1006),0))),"")</f>
        <v/>
      </c>
      <c r="B96" s="2" t="str">
        <f>IF($A96="","",SUMIF('All 5'!$A$7:$A$1006,$A96,'All 5'!B$7:B$1006))</f>
        <v/>
      </c>
      <c r="C96" s="2" t="str">
        <f>IF($A96="","",SUMIF('All 5'!$A$7:$A$1006,$A96,'All 5'!C$7:C$1006))</f>
        <v/>
      </c>
      <c r="D96" s="2" t="str">
        <f>IF($A96="","",SUMIF('All 5'!$A$7:$A$1006,$A96,'All 5'!D$7:D$1006))</f>
        <v/>
      </c>
      <c r="E96" s="2" t="str">
        <f>IF($A96="","",SUMIF('All 5'!$A$7:$A$1006,$A96,'All 5'!E$7:E$1006))</f>
        <v/>
      </c>
      <c r="F96" s="2" t="str">
        <f>IF($A96="","",SUMIF('All 5'!$A$7:$A$1006,$A96,'All 5'!F$7:F$1006))</f>
        <v/>
      </c>
    </row>
    <row r="97" spans="1:6">
      <c r="A97" s="1" t="str" cm="1">
        <f t="array" ref="A97">IFERROR(IF(INDEX('All 5'!$A$7:$A$1006,MATCH(0,COUNTIF($A$1:A96,'All 5'!$A$7:$A$1006),0))=0,"",INDEX('All 5'!$A$7:$A$1006,MATCH(0,COUNTIF($A$1:A96,'All 5'!$A$7:$A$1006),0))),"")</f>
        <v/>
      </c>
      <c r="B97" s="2" t="str">
        <f>IF($A97="","",SUMIF('All 5'!$A$7:$A$1006,$A97,'All 5'!B$7:B$1006))</f>
        <v/>
      </c>
      <c r="C97" s="2" t="str">
        <f>IF($A97="","",SUMIF('All 5'!$A$7:$A$1006,$A97,'All 5'!C$7:C$1006))</f>
        <v/>
      </c>
      <c r="D97" s="2" t="str">
        <f>IF($A97="","",SUMIF('All 5'!$A$7:$A$1006,$A97,'All 5'!D$7:D$1006))</f>
        <v/>
      </c>
      <c r="E97" s="2" t="str">
        <f>IF($A97="","",SUMIF('All 5'!$A$7:$A$1006,$A97,'All 5'!E$7:E$1006))</f>
        <v/>
      </c>
      <c r="F97" s="2" t="str">
        <f>IF($A97="","",SUMIF('All 5'!$A$7:$A$1006,$A97,'All 5'!F$7:F$1006))</f>
        <v/>
      </c>
    </row>
    <row r="98" spans="1:6">
      <c r="A98" s="1" t="str" cm="1">
        <f t="array" ref="A98">IFERROR(IF(INDEX('All 5'!$A$7:$A$1006,MATCH(0,COUNTIF($A$1:A97,'All 5'!$A$7:$A$1006),0))=0,"",INDEX('All 5'!$A$7:$A$1006,MATCH(0,COUNTIF($A$1:A97,'All 5'!$A$7:$A$1006),0))),"")</f>
        <v/>
      </c>
      <c r="B98" s="2" t="str">
        <f>IF($A98="","",SUMIF('All 5'!$A$7:$A$1006,$A98,'All 5'!B$7:B$1006))</f>
        <v/>
      </c>
      <c r="C98" s="2" t="str">
        <f>IF($A98="","",SUMIF('All 5'!$A$7:$A$1006,$A98,'All 5'!C$7:C$1006))</f>
        <v/>
      </c>
      <c r="D98" s="2" t="str">
        <f>IF($A98="","",SUMIF('All 5'!$A$7:$A$1006,$A98,'All 5'!D$7:D$1006))</f>
        <v/>
      </c>
      <c r="E98" s="2" t="str">
        <f>IF($A98="","",SUMIF('All 5'!$A$7:$A$1006,$A98,'All 5'!E$7:E$1006))</f>
        <v/>
      </c>
      <c r="F98" s="2" t="str">
        <f>IF($A98="","",SUMIF('All 5'!$A$7:$A$1006,$A98,'All 5'!F$7:F$1006))</f>
        <v/>
      </c>
    </row>
    <row r="99" spans="1:6">
      <c r="A99" s="1" t="str" cm="1">
        <f t="array" ref="A99">IFERROR(IF(INDEX('All 5'!$A$7:$A$1006,MATCH(0,COUNTIF($A$1:A98,'All 5'!$A$7:$A$1006),0))=0,"",INDEX('All 5'!$A$7:$A$1006,MATCH(0,COUNTIF($A$1:A98,'All 5'!$A$7:$A$1006),0))),"")</f>
        <v/>
      </c>
      <c r="B99" s="2" t="str">
        <f>IF($A99="","",SUMIF('All 5'!$A$7:$A$1006,$A99,'All 5'!B$7:B$1006))</f>
        <v/>
      </c>
      <c r="C99" s="2" t="str">
        <f>IF($A99="","",SUMIF('All 5'!$A$7:$A$1006,$A99,'All 5'!C$7:C$1006))</f>
        <v/>
      </c>
      <c r="D99" s="2" t="str">
        <f>IF($A99="","",SUMIF('All 5'!$A$7:$A$1006,$A99,'All 5'!D$7:D$1006))</f>
        <v/>
      </c>
      <c r="E99" s="2" t="str">
        <f>IF($A99="","",SUMIF('All 5'!$A$7:$A$1006,$A99,'All 5'!E$7:E$1006))</f>
        <v/>
      </c>
      <c r="F99" s="2" t="str">
        <f>IF($A99="","",SUMIF('All 5'!$A$7:$A$1006,$A99,'All 5'!F$7:F$1006))</f>
        <v/>
      </c>
    </row>
    <row r="100" spans="1:6">
      <c r="A100" s="1" t="str" cm="1">
        <f t="array" ref="A100">IFERROR(IF(INDEX('All 5'!$A$7:$A$1006,MATCH(0,COUNTIF($A$1:A99,'All 5'!$A$7:$A$1006),0))=0,"",INDEX('All 5'!$A$7:$A$1006,MATCH(0,COUNTIF($A$1:A99,'All 5'!$A$7:$A$1006),0))),"")</f>
        <v/>
      </c>
      <c r="B100" s="2" t="str">
        <f>IF($A100="","",SUMIF('All 5'!$A$7:$A$1006,$A100,'All 5'!B$7:B$1006))</f>
        <v/>
      </c>
      <c r="C100" s="2" t="str">
        <f>IF($A100="","",SUMIF('All 5'!$A$7:$A$1006,$A100,'All 5'!C$7:C$1006))</f>
        <v/>
      </c>
      <c r="D100" s="2" t="str">
        <f>IF($A100="","",SUMIF('All 5'!$A$7:$A$1006,$A100,'All 5'!D$7:D$1006))</f>
        <v/>
      </c>
      <c r="E100" s="2" t="str">
        <f>IF($A100="","",SUMIF('All 5'!$A$7:$A$1006,$A100,'All 5'!E$7:E$1006))</f>
        <v/>
      </c>
      <c r="F100" s="2" t="str">
        <f>IF($A100="","",SUMIF('All 5'!$A$7:$A$1006,$A100,'All 5'!F$7:F$1006))</f>
        <v/>
      </c>
    </row>
    <row r="101" spans="1:6">
      <c r="A101" s="1" t="str" cm="1">
        <f t="array" ref="A101">IFERROR(IF(INDEX('All 5'!$A$7:$A$1006,MATCH(0,COUNTIF($A$1:A100,'All 5'!$A$7:$A$1006),0))=0,"",INDEX('All 5'!$A$7:$A$1006,MATCH(0,COUNTIF($A$1:A100,'All 5'!$A$7:$A$1006),0))),"")</f>
        <v/>
      </c>
      <c r="B101" s="2" t="str">
        <f>IF($A101="","",SUMIF('All 5'!$A$7:$A$1006,$A101,'All 5'!B$7:B$1006))</f>
        <v/>
      </c>
      <c r="C101" s="2" t="str">
        <f>IF($A101="","",SUMIF('All 5'!$A$7:$A$1006,$A101,'All 5'!C$7:C$1006))</f>
        <v/>
      </c>
      <c r="D101" s="2" t="str">
        <f>IF($A101="","",SUMIF('All 5'!$A$7:$A$1006,$A101,'All 5'!D$7:D$1006))</f>
        <v/>
      </c>
      <c r="E101" s="2" t="str">
        <f>IF($A101="","",SUMIF('All 5'!$A$7:$A$1006,$A101,'All 5'!E$7:E$1006))</f>
        <v/>
      </c>
      <c r="F101" s="2" t="str">
        <f>IF($A101="","",SUMIF('All 5'!$A$7:$A$1006,$A101,'All 5'!F$7:F$1006))</f>
        <v/>
      </c>
    </row>
    <row r="102" spans="1:6">
      <c r="A102" s="1" t="str" cm="1">
        <f t="array" ref="A102">IFERROR(IF(INDEX('All 5'!$A$7:$A$1006,MATCH(0,COUNTIF($A$1:A101,'All 5'!$A$7:$A$1006),0))=0,"",INDEX('All 5'!$A$7:$A$1006,MATCH(0,COUNTIF($A$1:A101,'All 5'!$A$7:$A$1006),0))),"")</f>
        <v/>
      </c>
      <c r="B102" s="2" t="str">
        <f>IF($A102="","",SUMIF('All 5'!$A$7:$A$1006,$A102,'All 5'!B$7:B$1006))</f>
        <v/>
      </c>
      <c r="C102" s="2" t="str">
        <f>IF($A102="","",SUMIF('All 5'!$A$7:$A$1006,$A102,'All 5'!C$7:C$1006))</f>
        <v/>
      </c>
      <c r="D102" s="2" t="str">
        <f>IF($A102="","",SUMIF('All 5'!$A$7:$A$1006,$A102,'All 5'!D$7:D$1006))</f>
        <v/>
      </c>
      <c r="E102" s="2" t="str">
        <f>IF($A102="","",SUMIF('All 5'!$A$7:$A$1006,$A102,'All 5'!E$7:E$1006))</f>
        <v/>
      </c>
      <c r="F102" s="2" t="str">
        <f>IF($A102="","",SUMIF('All 5'!$A$7:$A$1006,$A102,'All 5'!F$7:F$1006))</f>
        <v/>
      </c>
    </row>
    <row r="103" spans="1:6">
      <c r="A103" s="1" t="str" cm="1">
        <f t="array" ref="A103">IFERROR(IF(INDEX('All 5'!$A$7:$A$1006,MATCH(0,COUNTIF($A$1:A102,'All 5'!$A$7:$A$1006),0))=0,"",INDEX('All 5'!$A$7:$A$1006,MATCH(0,COUNTIF($A$1:A102,'All 5'!$A$7:$A$1006),0))),"")</f>
        <v/>
      </c>
      <c r="B103" s="2" t="str">
        <f>IF($A103="","",SUMIF('All 5'!$A$7:$A$1006,$A103,'All 5'!B$7:B$1006))</f>
        <v/>
      </c>
      <c r="C103" s="2" t="str">
        <f>IF($A103="","",SUMIF('All 5'!$A$7:$A$1006,$A103,'All 5'!C$7:C$1006))</f>
        <v/>
      </c>
      <c r="D103" s="2" t="str">
        <f>IF($A103="","",SUMIF('All 5'!$A$7:$A$1006,$A103,'All 5'!D$7:D$1006))</f>
        <v/>
      </c>
      <c r="E103" s="2" t="str">
        <f>IF($A103="","",SUMIF('All 5'!$A$7:$A$1006,$A103,'All 5'!E$7:E$1006))</f>
        <v/>
      </c>
      <c r="F103" s="2" t="str">
        <f>IF($A103="","",SUMIF('All 5'!$A$7:$A$1006,$A103,'All 5'!F$7:F$1006))</f>
        <v/>
      </c>
    </row>
    <row r="104" spans="1:6">
      <c r="A104" s="1" t="str" cm="1">
        <f t="array" ref="A104">IFERROR(IF(INDEX('All 5'!$A$7:$A$1006,MATCH(0,COUNTIF($A$1:A103,'All 5'!$A$7:$A$1006),0))=0,"",INDEX('All 5'!$A$7:$A$1006,MATCH(0,COUNTIF($A$1:A103,'All 5'!$A$7:$A$1006),0))),"")</f>
        <v/>
      </c>
      <c r="B104" s="2" t="str">
        <f>IF($A104="","",SUMIF('All 5'!$A$7:$A$1006,$A104,'All 5'!B$7:B$1006))</f>
        <v/>
      </c>
      <c r="C104" s="2" t="str">
        <f>IF($A104="","",SUMIF('All 5'!$A$7:$A$1006,$A104,'All 5'!C$7:C$1006))</f>
        <v/>
      </c>
      <c r="D104" s="2" t="str">
        <f>IF($A104="","",SUMIF('All 5'!$A$7:$A$1006,$A104,'All 5'!D$7:D$1006))</f>
        <v/>
      </c>
      <c r="E104" s="2" t="str">
        <f>IF($A104="","",SUMIF('All 5'!$A$7:$A$1006,$A104,'All 5'!E$7:E$1006))</f>
        <v/>
      </c>
      <c r="F104" s="2" t="str">
        <f>IF($A104="","",SUMIF('All 5'!$A$7:$A$1006,$A104,'All 5'!F$7:F$1006))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Fraser Innes</dc:creator>
  <cp:keywords/>
  <dc:description/>
  <cp:lastModifiedBy>Fraser Innes</cp:lastModifiedBy>
  <cp:revision/>
  <dcterms:created xsi:type="dcterms:W3CDTF">2021-05-05T17:39:34Z</dcterms:created>
  <dcterms:modified xsi:type="dcterms:W3CDTF">2022-02-25T18:53:01Z</dcterms:modified>
  <cp:category/>
  <cp:contentStatus/>
</cp:coreProperties>
</file>